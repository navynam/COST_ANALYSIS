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vyn\Desktop\"/>
    </mc:Choice>
  </mc:AlternateContent>
  <xr:revisionPtr revIDLastSave="0" documentId="8_{2F22517E-CD35-46F9-97F2-A24C60BD4C65}" xr6:coauthVersionLast="47" xr6:coauthVersionMax="47" xr10:uidLastSave="{00000000-0000-0000-0000-000000000000}"/>
  <bookViews>
    <workbookView xWindow="-98" yWindow="-98" windowWidth="21795" windowHeight="13875" xr2:uid="{487F8C5A-AA10-4C75-A317-98F3CA8740CD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V100" i="1" l="1"/>
  <c r="AQ100" i="1"/>
  <c r="AL100" i="1"/>
  <c r="AG100" i="1"/>
  <c r="AX97" i="1"/>
  <c r="AS97" i="1"/>
  <c r="AN97" i="1"/>
  <c r="AI97" i="1"/>
  <c r="AX96" i="1"/>
  <c r="AS96" i="1"/>
  <c r="AN96" i="1"/>
  <c r="AI96" i="1"/>
  <c r="AX95" i="1"/>
  <c r="AS95" i="1"/>
  <c r="AN95" i="1"/>
  <c r="AI95" i="1"/>
  <c r="AN94" i="1"/>
  <c r="AI94" i="1"/>
  <c r="AX93" i="1"/>
  <c r="AS93" i="1"/>
  <c r="AN93" i="1"/>
  <c r="AI93" i="1"/>
  <c r="AX92" i="1"/>
  <c r="AS92" i="1"/>
  <c r="AN92" i="1"/>
  <c r="AI92" i="1"/>
  <c r="AX91" i="1"/>
  <c r="AX100" i="1" s="1"/>
  <c r="AS91" i="1"/>
  <c r="AS100" i="1" s="1"/>
  <c r="AN91" i="1"/>
  <c r="AN100" i="1" s="1"/>
  <c r="AI91" i="1"/>
  <c r="AI100" i="1" s="1"/>
  <c r="X80" i="1"/>
  <c r="V31" i="1" s="1"/>
  <c r="V32" i="1" s="1"/>
  <c r="X32" i="1" s="1"/>
  <c r="V80" i="1"/>
  <c r="Q80" i="1"/>
  <c r="L80" i="1"/>
  <c r="G80" i="1"/>
  <c r="X77" i="1"/>
  <c r="S77" i="1"/>
  <c r="N77" i="1"/>
  <c r="I77" i="1"/>
  <c r="X76" i="1"/>
  <c r="S76" i="1"/>
  <c r="N76" i="1"/>
  <c r="I76" i="1"/>
  <c r="X75" i="1"/>
  <c r="S75" i="1"/>
  <c r="N75" i="1"/>
  <c r="I75" i="1"/>
  <c r="N74" i="1"/>
  <c r="I74" i="1"/>
  <c r="X73" i="1"/>
  <c r="S73" i="1"/>
  <c r="N73" i="1"/>
  <c r="I73" i="1"/>
  <c r="X72" i="1"/>
  <c r="S72" i="1"/>
  <c r="S80" i="1" s="1"/>
  <c r="N72" i="1"/>
  <c r="I72" i="1"/>
  <c r="X71" i="1"/>
  <c r="S71" i="1"/>
  <c r="N71" i="1"/>
  <c r="N80" i="1" s="1"/>
  <c r="L31" i="1" s="1"/>
  <c r="L32" i="1" s="1"/>
  <c r="N32" i="1" s="1"/>
  <c r="I71" i="1"/>
  <c r="I80" i="1" s="1"/>
  <c r="G31" i="1" s="1"/>
  <c r="G32" i="1" s="1"/>
  <c r="I32" i="1" s="1"/>
  <c r="Y62" i="1"/>
  <c r="N62" i="1"/>
  <c r="Z62" i="1" s="1"/>
  <c r="Z61" i="1"/>
  <c r="Y61" i="1"/>
  <c r="Z60" i="1"/>
  <c r="Y60" i="1"/>
  <c r="N60" i="1"/>
  <c r="Z59" i="1"/>
  <c r="Y59" i="1"/>
  <c r="N59" i="1"/>
  <c r="Z58" i="1"/>
  <c r="Y58" i="1"/>
  <c r="Z57" i="1"/>
  <c r="Y57" i="1"/>
  <c r="Z56" i="1"/>
  <c r="Y56" i="1"/>
  <c r="Z52" i="1"/>
  <c r="Y52" i="1"/>
  <c r="N50" i="1"/>
  <c r="I50" i="1"/>
  <c r="W41" i="1"/>
  <c r="Q41" i="1"/>
  <c r="S41" i="1" s="1"/>
  <c r="L41" i="1"/>
  <c r="N41" i="1" s="1"/>
  <c r="G41" i="1"/>
  <c r="I41" i="1" s="1"/>
  <c r="Q40" i="1"/>
  <c r="S40" i="1" s="1"/>
  <c r="V34" i="1"/>
  <c r="X34" i="1" s="1"/>
  <c r="S34" i="1"/>
  <c r="N34" i="1"/>
  <c r="L34" i="1"/>
  <c r="I34" i="1"/>
  <c r="G34" i="1"/>
  <c r="S32" i="1"/>
  <c r="S30" i="1"/>
  <c r="S37" i="1" s="1"/>
  <c r="L30" i="1"/>
  <c r="L40" i="1" s="1"/>
  <c r="N40" i="1" s="1"/>
  <c r="N45" i="1" s="1"/>
  <c r="G30" i="1"/>
  <c r="G40" i="1" s="1"/>
  <c r="I40" i="1" s="1"/>
  <c r="I45" i="1" s="1"/>
  <c r="C30" i="1"/>
  <c r="L29" i="1"/>
  <c r="G29" i="1"/>
  <c r="V27" i="1"/>
  <c r="T27" i="1"/>
  <c r="Q27" i="1"/>
  <c r="O27" i="1"/>
  <c r="L27" i="1"/>
  <c r="J27" i="1"/>
  <c r="G27" i="1"/>
  <c r="E27" i="1"/>
  <c r="Z25" i="1"/>
  <c r="Y25" i="1"/>
  <c r="X24" i="1"/>
  <c r="Z24" i="1" s="1"/>
  <c r="S24" i="1"/>
  <c r="W23" i="1"/>
  <c r="X23" i="1" s="1"/>
  <c r="S23" i="1"/>
  <c r="M23" i="1"/>
  <c r="N23" i="1" s="1"/>
  <c r="I23" i="1"/>
  <c r="X22" i="1"/>
  <c r="Y22" i="1" s="1"/>
  <c r="S22" i="1"/>
  <c r="N22" i="1"/>
  <c r="I22" i="1"/>
  <c r="X21" i="1"/>
  <c r="Z21" i="1" s="1"/>
  <c r="S21" i="1"/>
  <c r="N21" i="1"/>
  <c r="I21" i="1"/>
  <c r="Y20" i="1"/>
  <c r="N20" i="1"/>
  <c r="Z20" i="1" s="1"/>
  <c r="I20" i="1"/>
  <c r="W19" i="1"/>
  <c r="X19" i="1" s="1"/>
  <c r="S19" i="1"/>
  <c r="N19" i="1"/>
  <c r="I19" i="1"/>
  <c r="V18" i="1"/>
  <c r="V29" i="1" s="1"/>
  <c r="V30" i="1" s="1"/>
  <c r="S18" i="1"/>
  <c r="S27" i="1" s="1"/>
  <c r="N18" i="1"/>
  <c r="I18" i="1"/>
  <c r="X17" i="1"/>
  <c r="Z17" i="1" s="1"/>
  <c r="S17" i="1"/>
  <c r="N17" i="1"/>
  <c r="I17" i="1"/>
  <c r="I27" i="1" s="1"/>
  <c r="W15" i="1"/>
  <c r="X15" i="1" s="1"/>
  <c r="S15" i="1"/>
  <c r="S51" i="1" s="1"/>
  <c r="N15" i="1"/>
  <c r="N27" i="1" s="1"/>
  <c r="I15" i="1"/>
  <c r="I51" i="1" s="1"/>
  <c r="V40" i="1" l="1"/>
  <c r="X40" i="1" s="1"/>
  <c r="X30" i="1"/>
  <c r="Y15" i="1"/>
  <c r="X51" i="1"/>
  <c r="X27" i="1"/>
  <c r="Z15" i="1"/>
  <c r="Z19" i="1"/>
  <c r="Y19" i="1"/>
  <c r="Z32" i="1"/>
  <c r="Y32" i="1"/>
  <c r="Z23" i="1"/>
  <c r="Y23" i="1"/>
  <c r="Z34" i="1"/>
  <c r="Y34" i="1"/>
  <c r="S45" i="1"/>
  <c r="S46" i="1" s="1"/>
  <c r="X18" i="1"/>
  <c r="Y24" i="1"/>
  <c r="Z22" i="1"/>
  <c r="N30" i="1"/>
  <c r="N37" i="1" s="1"/>
  <c r="N46" i="1" s="1"/>
  <c r="V41" i="1"/>
  <c r="X41" i="1" s="1"/>
  <c r="S50" i="1"/>
  <c r="X50" i="1"/>
  <c r="I30" i="1"/>
  <c r="I37" i="1" s="1"/>
  <c r="I46" i="1" s="1"/>
  <c r="Y17" i="1"/>
  <c r="Y21" i="1"/>
  <c r="N51" i="1"/>
  <c r="S47" i="1" l="1"/>
  <c r="S48" i="1"/>
  <c r="S49" i="1" s="1"/>
  <c r="I48" i="1"/>
  <c r="I49" i="1"/>
  <c r="I47" i="1"/>
  <c r="Z50" i="1"/>
  <c r="Y50" i="1"/>
  <c r="Z41" i="1"/>
  <c r="Y41" i="1"/>
  <c r="N47" i="1"/>
  <c r="N48" i="1"/>
  <c r="N49" i="1" s="1"/>
  <c r="Z27" i="1"/>
  <c r="Y27" i="1"/>
  <c r="Z18" i="1"/>
  <c r="Y18" i="1"/>
  <c r="Z51" i="1"/>
  <c r="Y51" i="1"/>
  <c r="X37" i="1"/>
  <c r="Z30" i="1"/>
  <c r="Y30" i="1"/>
  <c r="X45" i="1"/>
  <c r="Z40" i="1"/>
  <c r="Y40" i="1"/>
  <c r="N53" i="1" l="1"/>
  <c r="N63" i="1"/>
  <c r="Y45" i="1"/>
  <c r="Z45" i="1"/>
  <c r="Z37" i="1"/>
  <c r="Y37" i="1"/>
  <c r="X46" i="1"/>
  <c r="I53" i="1"/>
  <c r="I63" i="1"/>
  <c r="S53" i="1"/>
  <c r="S63" i="1"/>
  <c r="I64" i="1" l="1"/>
  <c r="I7" i="1"/>
  <c r="S64" i="1"/>
  <c r="S7" i="1"/>
  <c r="Z46" i="1"/>
  <c r="Y46" i="1"/>
  <c r="X48" i="1"/>
  <c r="X47" i="1"/>
  <c r="N64" i="1"/>
  <c r="N7" i="1"/>
  <c r="Z47" i="1" l="1"/>
  <c r="Y47" i="1"/>
  <c r="Z48" i="1"/>
  <c r="Y48" i="1"/>
  <c r="X49" i="1"/>
  <c r="Z49" i="1" l="1"/>
  <c r="Y49" i="1"/>
  <c r="X53" i="1"/>
  <c r="Z53" i="1" l="1"/>
  <c r="Y53" i="1"/>
  <c r="X63" i="1"/>
  <c r="X64" i="1" l="1"/>
  <c r="Z63" i="1"/>
  <c r="Y63" i="1"/>
  <c r="X7" i="1"/>
  <c r="Y64" i="1" l="1"/>
  <c r="Z64" i="1"/>
  <c r="Z7" i="1"/>
  <c r="Y7" i="1"/>
</calcChain>
</file>

<file path=xl/sharedStrings.xml><?xml version="1.0" encoding="utf-8"?>
<sst xmlns="http://schemas.openxmlformats.org/spreadsheetml/2006/main" count="392" uniqueCount="133">
  <si>
    <t>소  계</t>
  </si>
  <si>
    <t>③</t>
    <phoneticPr fontId="6" type="noConversion"/>
  </si>
  <si>
    <t>C/V</t>
    <phoneticPr fontId="7" type="noConversion"/>
  </si>
  <si>
    <t>기종</t>
    <phoneticPr fontId="7" type="noConversion"/>
  </si>
  <si>
    <t>C/T</t>
  </si>
  <si>
    <t>경비</t>
  </si>
  <si>
    <t>금액</t>
  </si>
  <si>
    <t>경</t>
    <phoneticPr fontId="6" type="noConversion"/>
  </si>
  <si>
    <t>비</t>
    <phoneticPr fontId="6" type="noConversion"/>
  </si>
  <si>
    <t>DECO BEZEL-SD,LH</t>
  </si>
  <si>
    <t>가동</t>
    <phoneticPr fontId="6" type="noConversion"/>
  </si>
  <si>
    <t>누락검사</t>
    <phoneticPr fontId="6" type="noConversion"/>
  </si>
  <si>
    <t>▶전용장비 미인정으로, 비가동 경비 제외</t>
  </si>
  <si>
    <t>품    명 : QWE ASSY-A/AAA GARNISH A/OUT (LHD, 인서트필름)</t>
  </si>
  <si>
    <t>구    분</t>
  </si>
  <si>
    <t>AA1 초도가
99552-CU000 JW5 
QWE ASSY-A/AAA GARNISH A/OUT
(A)</t>
  </si>
  <si>
    <t>AA1 현재가
99552-CU000 JW5
QWE ASSY-A/AAA GARNISH A/OUT
(B)</t>
  </si>
  <si>
    <t>AA1 PE  초도가
99881-AABB2 WA8
QWE ASSY-A/AAA GARNISH A/OUT
(C)</t>
  </si>
  <si>
    <t>AA1 PE 초도가
99881-AABB2 WA8
QWE ASSY-A/AAA GARNISH A/OUT
(D)</t>
  </si>
  <si>
    <t>(가 대비)</t>
  </si>
  <si>
    <t>소요량</t>
  </si>
  <si>
    <t>단가</t>
  </si>
  <si>
    <t>GARNISH-A/AAA DRV SIDE</t>
  </si>
  <si>
    <t>분쇄</t>
  </si>
  <si>
    <t>EA</t>
  </si>
  <si>
    <t>▶인서트필름 ( 결정가, 인서트필름 계산서 참조)</t>
  </si>
  <si>
    <t>PC+ABS (MS214-04 TA1)</t>
  </si>
  <si>
    <t>BRKT-GARNISH DRV SIDE</t>
  </si>
  <si>
    <t>g</t>
  </si>
  <si>
    <t>PAD-ANTINOISE</t>
  </si>
  <si>
    <t>10*10*0.5</t>
  </si>
  <si>
    <t>70*5*0.5</t>
  </si>
  <si>
    <t>TAPPING-SCREW</t>
  </si>
  <si>
    <t>FASTENER CLIP</t>
  </si>
  <si>
    <t>DUCT ASSY-SD VENT,LH</t>
  </si>
  <si>
    <t>▶별도 SUB 계산서 참조</t>
  </si>
  <si>
    <t>보호랩</t>
  </si>
  <si>
    <t>▶보호랩 형상변경, 임율/간접경비율/일관비 등 인상</t>
  </si>
  <si>
    <t xml:space="preserve"> </t>
  </si>
  <si>
    <t>적용C/T</t>
  </si>
  <si>
    <t>임율</t>
  </si>
  <si>
    <t>ASSY</t>
  </si>
  <si>
    <t>▶아래 조립 CT 참조</t>
  </si>
  <si>
    <t>④</t>
  </si>
  <si>
    <t>가    공    비</t>
  </si>
  <si>
    <t>② + ③</t>
  </si>
  <si>
    <t>⑤</t>
  </si>
  <si>
    <t>제  조  원  가</t>
  </si>
  <si>
    <t>① + ④</t>
  </si>
  <si>
    <t>⑥</t>
  </si>
  <si>
    <t>일 반 관 리 비</t>
  </si>
  <si>
    <t>⑦</t>
  </si>
  <si>
    <t>(④+⑥)*15%</t>
  </si>
  <si>
    <t>재 료 관 리 비</t>
  </si>
  <si>
    <t>⑨</t>
  </si>
  <si>
    <t>⑩</t>
  </si>
  <si>
    <t>금    형    비</t>
  </si>
  <si>
    <t>⑪</t>
  </si>
  <si>
    <t>▶ 인서트필름 계산서에 R&amp;D비 미포함 
    → END품에 R&amp;D비 반영 (동일)</t>
  </si>
  <si>
    <t>⑮</t>
  </si>
  <si>
    <t>YD1</t>
  </si>
  <si>
    <t>가격차이 조정분 (전력비 등)</t>
  </si>
  <si>
    <t>비  고</t>
  </si>
  <si>
    <t>작동력측정검사</t>
  </si>
  <si>
    <t>외관검사/포장</t>
  </si>
  <si>
    <t>&lt;99552CU000 합의가 이력&gt;</t>
  </si>
  <si>
    <t>품    번 : 99881-AABB2</t>
    <phoneticPr fontId="6" type="noConversion"/>
  </si>
  <si>
    <t>차      종 : AA1 PE</t>
    <phoneticPr fontId="7" type="noConversion"/>
  </si>
  <si>
    <t>업      체 : 아시아</t>
    <phoneticPr fontId="6" type="noConversion"/>
  </si>
  <si>
    <t>EO NO : HCUP0543(23.11.20)</t>
    <phoneticPr fontId="6" type="noConversion"/>
  </si>
  <si>
    <r>
      <t xml:space="preserve">작성일자 : </t>
    </r>
    <r>
      <rPr>
        <sz val="12"/>
        <color rgb="FF000000"/>
        <rFont val="현대하모니 L"/>
        <family val="1"/>
        <charset val="129"/>
      </rPr>
      <t>2025.12.08</t>
    </r>
    <phoneticPr fontId="6" type="noConversion"/>
  </si>
  <si>
    <t>인서트필름 JW5</t>
    <phoneticPr fontId="6" type="noConversion"/>
  </si>
  <si>
    <t>인서트필름 WA8</t>
    <phoneticPr fontId="6" type="noConversion"/>
  </si>
  <si>
    <t>차액</t>
    <phoneticPr fontId="6" type="noConversion"/>
  </si>
  <si>
    <t>비고</t>
    <phoneticPr fontId="6" type="noConversion"/>
  </si>
  <si>
    <t>(D-C)</t>
    <phoneticPr fontId="6" type="noConversion"/>
  </si>
  <si>
    <t>(D-B)</t>
    <phoneticPr fontId="6" type="noConversion"/>
  </si>
  <si>
    <t>①
재
료
비</t>
    <phoneticPr fontId="6" type="noConversion"/>
  </si>
  <si>
    <t>U/S</t>
    <phoneticPr fontId="7" type="noConversion"/>
  </si>
  <si>
    <t>단위</t>
    <phoneticPr fontId="7" type="noConversion"/>
  </si>
  <si>
    <t>재</t>
    <phoneticPr fontId="6" type="noConversion"/>
  </si>
  <si>
    <t>료</t>
    <phoneticPr fontId="6" type="noConversion"/>
  </si>
  <si>
    <t>재료비</t>
    <phoneticPr fontId="6" type="noConversion"/>
  </si>
  <si>
    <t>84790-CUAA0</t>
    <phoneticPr fontId="6" type="noConversion"/>
  </si>
  <si>
    <t>인서트필름</t>
    <phoneticPr fontId="6" type="noConversion"/>
  </si>
  <si>
    <t>PC+ABS (MS214-04 TA1)</t>
    <phoneticPr fontId="6" type="noConversion"/>
  </si>
  <si>
    <t>g</t>
    <phoneticPr fontId="6" type="noConversion"/>
  </si>
  <si>
    <t>EA</t>
    <phoneticPr fontId="6" type="noConversion"/>
  </si>
  <si>
    <t>바코드</t>
    <phoneticPr fontId="6" type="noConversion"/>
  </si>
  <si>
    <t>②
노
무
비</t>
    <phoneticPr fontId="6" type="noConversion"/>
  </si>
  <si>
    <t>인원</t>
    <phoneticPr fontId="7" type="noConversion"/>
  </si>
  <si>
    <t>금액</t>
    <phoneticPr fontId="6" type="noConversion"/>
  </si>
  <si>
    <t>노</t>
    <phoneticPr fontId="6" type="noConversion"/>
  </si>
  <si>
    <t>무</t>
    <phoneticPr fontId="6" type="noConversion"/>
  </si>
  <si>
    <t xml:space="preserve"> </t>
    <phoneticPr fontId="18" type="noConversion"/>
  </si>
  <si>
    <t>④ * 25%</t>
    <phoneticPr fontId="6" type="noConversion"/>
  </si>
  <si>
    <t>④ * 22%</t>
    <phoneticPr fontId="6" type="noConversion"/>
  </si>
  <si>
    <t>이           윤</t>
    <phoneticPr fontId="6" type="noConversion"/>
  </si>
  <si>
    <t>⑧</t>
    <phoneticPr fontId="6" type="noConversion"/>
  </si>
  <si>
    <t>① 재료비 * 2%</t>
    <phoneticPr fontId="6" type="noConversion"/>
  </si>
  <si>
    <t>외주재료관리비</t>
    <phoneticPr fontId="6" type="noConversion"/>
  </si>
  <si>
    <t>외주재료관리비 * 1%</t>
    <phoneticPr fontId="6" type="noConversion"/>
  </si>
  <si>
    <t xml:space="preserve">  일시불</t>
    <phoneticPr fontId="6" type="noConversion"/>
  </si>
  <si>
    <t>R &amp; D 비  용</t>
    <phoneticPr fontId="6" type="noConversion"/>
  </si>
  <si>
    <t>총원가x1.7%</t>
    <phoneticPr fontId="6" type="noConversion"/>
  </si>
  <si>
    <t>운    반    비</t>
    <phoneticPr fontId="20" type="noConversion"/>
  </si>
  <si>
    <t>&lt;가격변경이력&gt;</t>
    <phoneticPr fontId="6" type="noConversion"/>
  </si>
  <si>
    <t>조정가</t>
    <phoneticPr fontId="20" type="noConversion"/>
  </si>
  <si>
    <t>22년</t>
    <phoneticPr fontId="6" type="noConversion"/>
  </si>
  <si>
    <t>23년</t>
    <phoneticPr fontId="6" type="noConversion"/>
  </si>
  <si>
    <t>YD2</t>
    <phoneticPr fontId="6" type="noConversion"/>
  </si>
  <si>
    <t>24년</t>
    <phoneticPr fontId="6" type="noConversion"/>
  </si>
  <si>
    <t>YD3</t>
    <phoneticPr fontId="6" type="noConversion"/>
  </si>
  <si>
    <t>EU2, ED4</t>
    <phoneticPr fontId="6" type="noConversion"/>
  </si>
  <si>
    <t>ED2, EU2</t>
    <phoneticPr fontId="6" type="noConversion"/>
  </si>
  <si>
    <t>25년</t>
    <phoneticPr fontId="6" type="noConversion"/>
  </si>
  <si>
    <t>인서트필름 단가 인하</t>
    <phoneticPr fontId="6" type="noConversion"/>
  </si>
  <si>
    <t>결  정  가  격</t>
    <phoneticPr fontId="20" type="noConversion"/>
  </si>
  <si>
    <t>구매가</t>
    <phoneticPr fontId="6" type="noConversion"/>
  </si>
  <si>
    <t>판매가</t>
    <phoneticPr fontId="6" type="noConversion"/>
  </si>
  <si>
    <t>인서트필름 제외 구매가</t>
    <phoneticPr fontId="6" type="noConversion"/>
  </si>
  <si>
    <t>인서트필름 제외 판매가</t>
    <phoneticPr fontId="6" type="noConversion"/>
  </si>
  <si>
    <t>ITEM</t>
    <phoneticPr fontId="6" type="noConversion"/>
  </si>
  <si>
    <t>U/S</t>
    <phoneticPr fontId="6" type="noConversion"/>
  </si>
  <si>
    <t>구매원가</t>
    <phoneticPr fontId="6" type="noConversion"/>
  </si>
  <si>
    <t>개당C/T</t>
    <phoneticPr fontId="6" type="noConversion"/>
  </si>
  <si>
    <t>총 C/T</t>
    <phoneticPr fontId="6" type="noConversion"/>
  </si>
  <si>
    <t>계</t>
    <phoneticPr fontId="6" type="noConversion"/>
  </si>
  <si>
    <t xml:space="preserve"> </t>
    <phoneticPr fontId="6" type="noConversion"/>
  </si>
  <si>
    <t>A</t>
    <phoneticPr fontId="6" type="noConversion"/>
  </si>
  <si>
    <t>B</t>
    <phoneticPr fontId="6" type="noConversion"/>
  </si>
  <si>
    <t>C</t>
    <phoneticPr fontId="6" type="noConversion"/>
  </si>
  <si>
    <t>D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</si>
</sst>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76" formatCode="0.000_);[Red]\(0.000\)"/>
    <numFmt numFmtId="177" formatCode="#,##0_ ;[Red]\-#,##0\ "/>
    <numFmt numFmtId="178" formatCode="&quot;간접경비율: &quot;###%"/>
    <numFmt numFmtId="179" formatCode="#,##0.00_ "/>
    <numFmt numFmtId="180" formatCode="#,##0_ "/>
    <numFmt numFmtId="181" formatCode="#,##0.000_ "/>
    <numFmt numFmtId="182" formatCode="&quot;LOSS율:&quot;\ 0.00%"/>
    <numFmt numFmtId="183" formatCode="_-* #,##0.00_-;\-* #,##0.00_-;_-* &quot;-&quot;_-;_-@_-"/>
    <numFmt numFmtId="184" formatCode="#,##0.00_ ;[Red]\-#,##0.00\ "/>
    <numFmt numFmtId="185" formatCode="#,##0.0_ ;[Red]\-#,##0.0\ "/>
    <numFmt numFmtId="186" formatCode="0.0_);[Red]\(0.0\)"/>
    <numFmt numFmtId="187" formatCode="_-* #,##0.0_-;\-* #,##0.0_-;_-* &quot;-&quot;_-;_-@_-"/>
    <numFmt numFmtId="188" formatCode="0.000"/>
    <numFmt numFmtId="189" formatCode="&quot;&quot;###&quot;분&quot;"/>
    <numFmt numFmtId="190" formatCode="&quot;SET UP:&quot;###&quot;분&quot;"/>
    <numFmt numFmtId="191" formatCode="&quot;NET:&quot;#,##0.00"/>
    <numFmt numFmtId="192" formatCode="&quot;LOT: &quot;#,##0"/>
    <numFmt numFmtId="193" formatCode="#,##0.0000000_ "/>
  </numFmts>
  <fonts count="23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2"/>
      <color indexed="8"/>
      <name val="현대하모니 L"/>
      <family val="1"/>
      <charset val="129"/>
    </font>
    <font>
      <sz val="8"/>
      <name val="맑은 고딕"/>
      <family val="2"/>
      <charset val="129"/>
      <scheme val="minor"/>
    </font>
    <font>
      <sz val="12"/>
      <color indexed="8"/>
      <name val="현대하모니 L"/>
      <family val="1"/>
      <charset val="129"/>
    </font>
    <font>
      <sz val="11"/>
      <color indexed="8"/>
      <name val="현대하모니 L"/>
      <family val="1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2"/>
      <name val="현대하모니 L"/>
      <family val="1"/>
      <charset val="129"/>
    </font>
    <font>
      <sz val="12"/>
      <color theme="1"/>
      <name val="현대하모니 L"/>
      <family val="1"/>
      <charset val="129"/>
    </font>
    <font>
      <sz val="12"/>
      <color rgb="FF000000"/>
      <name val="현대하모니 L"/>
      <family val="1"/>
      <charset val="129"/>
    </font>
    <font>
      <sz val="11"/>
      <name val="현대하모니 L"/>
      <family val="1"/>
      <charset val="129"/>
    </font>
    <font>
      <b/>
      <sz val="18"/>
      <name val="현대하모니 L"/>
      <family val="1"/>
      <charset val="129"/>
    </font>
    <font>
      <b/>
      <sz val="48"/>
      <name val="현대하모니 L"/>
      <family val="1"/>
      <charset val="129"/>
    </font>
    <font>
      <b/>
      <sz val="36"/>
      <name val="현대하모니 L"/>
      <family val="1"/>
      <charset val="129"/>
    </font>
    <font>
      <b/>
      <sz val="12"/>
      <name val="현대하모니 L"/>
      <family val="1"/>
      <charset val="129"/>
    </font>
    <font>
      <sz val="11"/>
      <color rgb="FF000000"/>
      <name val="현대하모니 L"/>
      <family val="1"/>
      <charset val="129"/>
    </font>
    <font>
      <sz val="11"/>
      <color theme="1"/>
      <name val="현대하모니 L"/>
      <family val="1"/>
      <charset val="129"/>
    </font>
    <font>
      <b/>
      <sz val="28"/>
      <name val="신문바탕체"/>
      <family val="1"/>
      <charset val="129"/>
    </font>
    <font>
      <sz val="11"/>
      <color rgb="FFFF0000"/>
      <name val="현대하모니 L"/>
      <family val="1"/>
      <charset val="129"/>
    </font>
    <font>
      <b/>
      <sz val="10"/>
      <name val="돋움체"/>
      <family val="3"/>
      <charset val="129"/>
    </font>
    <font>
      <sz val="12"/>
      <color rgb="FFFF0000"/>
      <name val="현대하모니 L"/>
      <family val="1"/>
      <charset val="129"/>
    </font>
    <font>
      <sz val="12"/>
      <color theme="0"/>
      <name val="현대하모니 L"/>
      <family val="1"/>
      <charset val="129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indexed="65"/>
        <bgColor indexed="8"/>
      </patternFill>
    </fill>
    <fill>
      <patternFill patternType="solid">
        <fgColor theme="0"/>
        <bgColor indexed="8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00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theme="0" tint="-0.24994659260841701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theme="0" tint="-0.24994659260841701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theme="0" tint="-0.24994659260841701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380"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4" fillId="0" borderId="2" xfId="0" applyFont="1" applyBorder="1" applyAlignment="1">
      <alignment horizontal="center" vertical="top"/>
    </xf>
    <xf numFmtId="0" fontId="4" fillId="2" borderId="3" xfId="0" applyFont="1" applyFill="1" applyBorder="1">
      <alignment vertical="center"/>
    </xf>
    <xf numFmtId="0" fontId="4" fillId="2" borderId="3" xfId="0" applyFont="1" applyFill="1" applyBorder="1" applyAlignment="1">
      <alignment horizontal="right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5" xfId="0" applyFont="1" applyBorder="1">
      <alignment vertical="center"/>
    </xf>
    <xf numFmtId="176" fontId="4" fillId="0" borderId="6" xfId="0" applyNumberFormat="1" applyFont="1" applyBorder="1">
      <alignment vertical="center"/>
    </xf>
    <xf numFmtId="4" fontId="4" fillId="0" borderId="7" xfId="0" applyNumberFormat="1" applyFont="1" applyBorder="1">
      <alignment vertical="center"/>
    </xf>
    <xf numFmtId="177" fontId="4" fillId="0" borderId="8" xfId="0" applyNumberFormat="1" applyFont="1" applyBorder="1">
      <alignment vertical="center"/>
    </xf>
    <xf numFmtId="0" fontId="5" fillId="0" borderId="3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top" wrapText="1"/>
    </xf>
    <xf numFmtId="0" fontId="4" fillId="2" borderId="10" xfId="0" applyFont="1" applyFill="1" applyBorder="1">
      <alignment vertical="center"/>
    </xf>
    <xf numFmtId="0" fontId="4" fillId="2" borderId="11" xfId="0" applyFont="1" applyFill="1" applyBorder="1" applyAlignment="1">
      <alignment horizontal="right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176" fontId="4" fillId="0" borderId="14" xfId="0" applyNumberFormat="1" applyFont="1" applyBorder="1" applyAlignment="1">
      <alignment horizontal="center" vertical="center"/>
    </xf>
    <xf numFmtId="4" fontId="4" fillId="0" borderId="15" xfId="0" applyNumberFormat="1" applyFont="1" applyBorder="1" applyAlignment="1">
      <alignment horizontal="center" vertical="center"/>
    </xf>
    <xf numFmtId="177" fontId="4" fillId="0" borderId="15" xfId="0" applyNumberFormat="1" applyFont="1" applyBorder="1" applyAlignment="1">
      <alignment horizontal="center" vertical="center"/>
    </xf>
    <xf numFmtId="0" fontId="5" fillId="0" borderId="1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top"/>
    </xf>
    <xf numFmtId="0" fontId="4" fillId="0" borderId="16" xfId="0" applyFont="1" applyBorder="1">
      <alignment vertical="center"/>
    </xf>
    <xf numFmtId="0" fontId="4" fillId="0" borderId="17" xfId="0" applyFont="1" applyBorder="1" applyAlignment="1">
      <alignment horizontal="right" vertical="center"/>
    </xf>
    <xf numFmtId="0" fontId="4" fillId="0" borderId="16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4" fontId="4" fillId="0" borderId="19" xfId="0" applyNumberFormat="1" applyFont="1" applyBorder="1">
      <alignment vertical="center"/>
    </xf>
    <xf numFmtId="178" fontId="4" fillId="0" borderId="20" xfId="0" applyNumberFormat="1" applyFont="1" applyBorder="1" applyAlignment="1">
      <alignment horizontal="right" vertical="center"/>
    </xf>
    <xf numFmtId="4" fontId="4" fillId="2" borderId="21" xfId="0" applyNumberFormat="1" applyFont="1" applyFill="1" applyBorder="1">
      <alignment vertical="center"/>
    </xf>
    <xf numFmtId="0" fontId="4" fillId="0" borderId="22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178" fontId="4" fillId="0" borderId="23" xfId="0" applyNumberFormat="1" applyFont="1" applyBorder="1" applyAlignment="1">
      <alignment horizontal="right" vertical="center"/>
    </xf>
    <xf numFmtId="4" fontId="4" fillId="0" borderId="21" xfId="0" applyNumberFormat="1" applyFont="1" applyBorder="1">
      <alignment vertical="center"/>
    </xf>
    <xf numFmtId="0" fontId="9" fillId="0" borderId="24" xfId="0" applyFont="1" applyBorder="1" applyAlignment="1">
      <alignment horizontal="center" vertical="center"/>
    </xf>
    <xf numFmtId="177" fontId="4" fillId="0" borderId="21" xfId="0" applyNumberFormat="1" applyFont="1" applyBorder="1">
      <alignment vertical="center"/>
    </xf>
    <xf numFmtId="0" fontId="5" fillId="0" borderId="16" xfId="0" applyFont="1" applyBorder="1" applyAlignment="1">
      <alignment horizontal="left" vertical="center"/>
    </xf>
    <xf numFmtId="0" fontId="4" fillId="0" borderId="25" xfId="0" applyFont="1" applyBorder="1">
      <alignment vertical="center"/>
    </xf>
    <xf numFmtId="0" fontId="4" fillId="0" borderId="26" xfId="0" applyFont="1" applyBorder="1" applyAlignment="1">
      <alignment horizontal="right" vertical="center"/>
    </xf>
    <xf numFmtId="1" fontId="4" fillId="0" borderId="25" xfId="0" applyNumberFormat="1" applyFont="1" applyBorder="1" applyAlignment="1">
      <alignment horizontal="center" vertical="center"/>
    </xf>
    <xf numFmtId="1" fontId="8" fillId="0" borderId="27" xfId="0" applyNumberFormat="1" applyFont="1" applyBorder="1" applyAlignment="1">
      <alignment horizontal="center" vertical="center"/>
    </xf>
    <xf numFmtId="4" fontId="4" fillId="0" borderId="28" xfId="0" applyNumberFormat="1" applyFont="1" applyBorder="1">
      <alignment vertical="center"/>
    </xf>
    <xf numFmtId="41" fontId="4" fillId="0" borderId="29" xfId="0" applyNumberFormat="1" applyFont="1" applyBorder="1">
      <alignment vertical="center"/>
    </xf>
    <xf numFmtId="4" fontId="4" fillId="2" borderId="30" xfId="0" applyNumberFormat="1" applyFont="1" applyFill="1" applyBorder="1">
      <alignment vertical="center"/>
    </xf>
    <xf numFmtId="1" fontId="4" fillId="0" borderId="31" xfId="0" applyNumberFormat="1" applyFont="1" applyBorder="1" applyAlignment="1">
      <alignment horizontal="center" vertical="center"/>
    </xf>
    <xf numFmtId="1" fontId="9" fillId="0" borderId="32" xfId="0" applyNumberFormat="1" applyFont="1" applyBorder="1" applyAlignment="1">
      <alignment horizontal="center" vertical="center"/>
    </xf>
    <xf numFmtId="41" fontId="8" fillId="0" borderId="29" xfId="0" applyNumberFormat="1" applyFont="1" applyBorder="1">
      <alignment vertical="center"/>
    </xf>
    <xf numFmtId="4" fontId="4" fillId="0" borderId="30" xfId="0" applyNumberFormat="1" applyFont="1" applyBorder="1">
      <alignment vertical="center"/>
    </xf>
    <xf numFmtId="1" fontId="9" fillId="0" borderId="33" xfId="0" applyNumberFormat="1" applyFont="1" applyBorder="1" applyAlignment="1">
      <alignment horizontal="center" vertical="center"/>
    </xf>
    <xf numFmtId="177" fontId="4" fillId="0" borderId="30" xfId="0" applyNumberFormat="1" applyFont="1" applyBorder="1">
      <alignment vertical="center"/>
    </xf>
    <xf numFmtId="0" fontId="5" fillId="0" borderId="25" xfId="0" applyFont="1" applyBorder="1">
      <alignment vertical="center"/>
    </xf>
    <xf numFmtId="0" fontId="4" fillId="2" borderId="16" xfId="0" applyFont="1" applyFill="1" applyBorder="1">
      <alignment vertical="center"/>
    </xf>
    <xf numFmtId="0" fontId="4" fillId="2" borderId="17" xfId="0" applyFont="1" applyFill="1" applyBorder="1" applyAlignment="1">
      <alignment horizontal="right" vertical="center"/>
    </xf>
    <xf numFmtId="0" fontId="4" fillId="0" borderId="18" xfId="0" applyFont="1" applyBorder="1" applyAlignment="1">
      <alignment horizontal="center" vertical="center"/>
    </xf>
    <xf numFmtId="41" fontId="4" fillId="0" borderId="23" xfId="0" applyNumberFormat="1" applyFont="1" applyBorder="1" applyAlignment="1">
      <alignment horizontal="right" vertical="center"/>
    </xf>
    <xf numFmtId="0" fontId="4" fillId="0" borderId="34" xfId="0" applyFont="1" applyBorder="1" applyAlignment="1">
      <alignment horizontal="center" vertical="center"/>
    </xf>
    <xf numFmtId="179" fontId="4" fillId="0" borderId="21" xfId="0" applyNumberFormat="1" applyFont="1" applyBorder="1">
      <alignment vertical="center"/>
    </xf>
    <xf numFmtId="0" fontId="4" fillId="0" borderId="24" xfId="0" applyFont="1" applyBorder="1" applyAlignment="1">
      <alignment horizontal="center" vertical="center"/>
    </xf>
    <xf numFmtId="180" fontId="4" fillId="0" borderId="35" xfId="0" applyNumberFormat="1" applyFont="1" applyBorder="1">
      <alignment vertical="center"/>
    </xf>
    <xf numFmtId="0" fontId="5" fillId="0" borderId="36" xfId="0" applyFont="1" applyBorder="1" applyAlignment="1">
      <alignment horizontal="left" vertical="center"/>
    </xf>
    <xf numFmtId="0" fontId="10" fillId="2" borderId="25" xfId="0" applyFont="1" applyFill="1" applyBorder="1" applyAlignment="1">
      <alignment vertical="center" shrinkToFit="1"/>
    </xf>
    <xf numFmtId="0" fontId="4" fillId="2" borderId="0" xfId="0" applyFont="1" applyFill="1" applyAlignment="1">
      <alignment horizontal="right" vertical="center"/>
    </xf>
    <xf numFmtId="1" fontId="4" fillId="0" borderId="36" xfId="0" applyNumberFormat="1" applyFont="1" applyBorder="1" applyAlignment="1">
      <alignment horizontal="center" vertical="center"/>
    </xf>
    <xf numFmtId="4" fontId="4" fillId="0" borderId="37" xfId="0" applyNumberFormat="1" applyFont="1" applyBorder="1">
      <alignment vertical="center"/>
    </xf>
    <xf numFmtId="41" fontId="4" fillId="0" borderId="20" xfId="0" applyNumberFormat="1" applyFont="1" applyBorder="1">
      <alignment vertical="center"/>
    </xf>
    <xf numFmtId="4" fontId="4" fillId="0" borderId="35" xfId="0" applyNumberFormat="1" applyFont="1" applyBorder="1">
      <alignment vertical="center"/>
    </xf>
    <xf numFmtId="1" fontId="4" fillId="0" borderId="38" xfId="0" applyNumberFormat="1" applyFont="1" applyBorder="1" applyAlignment="1">
      <alignment horizontal="center" vertical="center"/>
    </xf>
    <xf numFmtId="1" fontId="8" fillId="0" borderId="39" xfId="0" applyNumberFormat="1" applyFont="1" applyBorder="1" applyAlignment="1">
      <alignment horizontal="center" vertical="center"/>
    </xf>
    <xf numFmtId="177" fontId="4" fillId="0" borderId="35" xfId="0" applyNumberFormat="1" applyFont="1" applyBorder="1">
      <alignment vertical="center"/>
    </xf>
    <xf numFmtId="0" fontId="5" fillId="0" borderId="25" xfId="0" applyFont="1" applyBorder="1" applyAlignment="1">
      <alignment horizontal="left" vertical="center"/>
    </xf>
    <xf numFmtId="0" fontId="11" fillId="0" borderId="0" xfId="0" applyFont="1">
      <alignment vertical="center"/>
    </xf>
    <xf numFmtId="0" fontId="12" fillId="0" borderId="0" xfId="0" applyFont="1" applyAlignment="1">
      <alignment horizontal="left" vertical="top"/>
    </xf>
    <xf numFmtId="0" fontId="1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 shrinkToFit="1"/>
    </xf>
    <xf numFmtId="0" fontId="11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 shrinkToFit="1"/>
    </xf>
    <xf numFmtId="0" fontId="4" fillId="0" borderId="0" xfId="0" applyFont="1" applyAlignment="1">
      <alignment horizontal="left" vertical="center"/>
    </xf>
    <xf numFmtId="176" fontId="4" fillId="0" borderId="0" xfId="0" applyNumberFormat="1" applyFont="1" applyAlignment="1">
      <alignment horizontal="left" vertical="center"/>
    </xf>
    <xf numFmtId="0" fontId="8" fillId="0" borderId="0" xfId="0" applyFont="1">
      <alignment vertical="center"/>
    </xf>
    <xf numFmtId="0" fontId="2" fillId="0" borderId="0" xfId="0" applyFont="1">
      <alignment vertical="center"/>
    </xf>
    <xf numFmtId="0" fontId="4" fillId="0" borderId="40" xfId="0" applyFont="1" applyBorder="1">
      <alignment vertical="center"/>
    </xf>
    <xf numFmtId="0" fontId="4" fillId="0" borderId="40" xfId="0" applyFont="1" applyBorder="1" applyAlignment="1">
      <alignment horizontal="right" vertical="center"/>
    </xf>
    <xf numFmtId="0" fontId="4" fillId="0" borderId="0" xfId="0" applyFont="1" applyAlignment="1">
      <alignment horizontal="centerContinuous" vertical="center"/>
    </xf>
    <xf numFmtId="176" fontId="4" fillId="0" borderId="0" xfId="0" applyNumberFormat="1" applyFont="1" applyAlignment="1">
      <alignment horizontal="centerContinuous" vertical="center"/>
    </xf>
    <xf numFmtId="0" fontId="11" fillId="0" borderId="40" xfId="0" applyFont="1" applyBorder="1">
      <alignment vertical="center"/>
    </xf>
    <xf numFmtId="0" fontId="2" fillId="0" borderId="0" xfId="0" applyFont="1" applyAlignment="1">
      <alignment horizontal="center" vertical="center"/>
    </xf>
    <xf numFmtId="0" fontId="4" fillId="0" borderId="41" xfId="0" applyFont="1" applyBorder="1">
      <alignment vertical="center"/>
    </xf>
    <xf numFmtId="0" fontId="4" fillId="0" borderId="41" xfId="0" applyFont="1" applyBorder="1" applyAlignment="1">
      <alignment horizontal="right" vertical="center"/>
    </xf>
    <xf numFmtId="0" fontId="4" fillId="0" borderId="0" xfId="0" applyFont="1">
      <alignment vertical="center"/>
    </xf>
    <xf numFmtId="176" fontId="4" fillId="0" borderId="0" xfId="0" applyNumberFormat="1" applyFont="1">
      <alignment vertical="center"/>
    </xf>
    <xf numFmtId="0" fontId="4" fillId="0" borderId="0" xfId="0" applyFont="1" applyAlignment="1">
      <alignment horizontal="right" vertical="center"/>
    </xf>
    <xf numFmtId="0" fontId="4" fillId="3" borderId="0" xfId="0" applyFont="1" applyFill="1" applyAlignment="1">
      <alignment horizontal="center" vertical="center"/>
    </xf>
    <xf numFmtId="41" fontId="2" fillId="4" borderId="42" xfId="0" applyNumberFormat="1" applyFont="1" applyFill="1" applyBorder="1">
      <alignment vertical="center"/>
    </xf>
    <xf numFmtId="0" fontId="4" fillId="0" borderId="43" xfId="0" quotePrefix="1" applyFont="1" applyBorder="1">
      <alignment vertical="center"/>
    </xf>
    <xf numFmtId="0" fontId="4" fillId="0" borderId="43" xfId="0" applyFont="1" applyBorder="1">
      <alignment vertical="center"/>
    </xf>
    <xf numFmtId="0" fontId="2" fillId="0" borderId="9" xfId="0" applyFont="1" applyBorder="1">
      <alignment vertical="center"/>
    </xf>
    <xf numFmtId="0" fontId="4" fillId="5" borderId="9" xfId="0" applyFont="1" applyFill="1" applyBorder="1" applyAlignment="1">
      <alignment horizontal="center" vertical="center"/>
    </xf>
    <xf numFmtId="0" fontId="4" fillId="5" borderId="44" xfId="0" applyFont="1" applyFill="1" applyBorder="1" applyAlignment="1">
      <alignment horizontal="center" vertical="center"/>
    </xf>
    <xf numFmtId="0" fontId="4" fillId="5" borderId="45" xfId="0" applyFont="1" applyFill="1" applyBorder="1" applyAlignment="1">
      <alignment horizontal="center" vertical="center" wrapText="1"/>
    </xf>
    <xf numFmtId="0" fontId="4" fillId="5" borderId="44" xfId="0" applyFont="1" applyFill="1" applyBorder="1" applyAlignment="1">
      <alignment horizontal="center" vertical="center" wrapText="1"/>
    </xf>
    <xf numFmtId="0" fontId="4" fillId="5" borderId="46" xfId="0" applyFont="1" applyFill="1" applyBorder="1" applyAlignment="1">
      <alignment horizontal="center" vertical="center" wrapText="1"/>
    </xf>
    <xf numFmtId="0" fontId="4" fillId="6" borderId="45" xfId="0" applyFont="1" applyFill="1" applyBorder="1" applyAlignment="1">
      <alignment horizontal="center" vertical="center" wrapText="1"/>
    </xf>
    <xf numFmtId="0" fontId="4" fillId="6" borderId="44" xfId="0" applyFont="1" applyFill="1" applyBorder="1" applyAlignment="1">
      <alignment horizontal="center" vertical="center" wrapText="1"/>
    </xf>
    <xf numFmtId="0" fontId="4" fillId="6" borderId="46" xfId="0" applyFont="1" applyFill="1" applyBorder="1" applyAlignment="1">
      <alignment horizontal="center" vertical="center" wrapText="1"/>
    </xf>
    <xf numFmtId="0" fontId="4" fillId="7" borderId="45" xfId="0" applyFont="1" applyFill="1" applyBorder="1" applyAlignment="1">
      <alignment horizontal="center" vertical="center" wrapText="1"/>
    </xf>
    <xf numFmtId="0" fontId="4" fillId="7" borderId="44" xfId="0" applyFont="1" applyFill="1" applyBorder="1" applyAlignment="1">
      <alignment horizontal="center" vertical="center" wrapText="1"/>
    </xf>
    <xf numFmtId="0" fontId="4" fillId="7" borderId="46" xfId="0" applyFont="1" applyFill="1" applyBorder="1" applyAlignment="1">
      <alignment horizontal="center" vertical="center" wrapText="1"/>
    </xf>
    <xf numFmtId="0" fontId="10" fillId="7" borderId="47" xfId="0" applyFont="1" applyFill="1" applyBorder="1" applyAlignment="1">
      <alignment horizontal="center" vertical="center"/>
    </xf>
    <xf numFmtId="0" fontId="4" fillId="5" borderId="48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5" borderId="36" xfId="0" applyFont="1" applyFill="1" applyBorder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0" fontId="4" fillId="5" borderId="49" xfId="0" applyFont="1" applyFill="1" applyBorder="1" applyAlignment="1">
      <alignment horizontal="center" vertical="center" wrapText="1"/>
    </xf>
    <xf numFmtId="0" fontId="4" fillId="6" borderId="36" xfId="0" applyFont="1" applyFill="1" applyBorder="1" applyAlignment="1">
      <alignment horizontal="center" vertical="center" wrapText="1"/>
    </xf>
    <xf numFmtId="0" fontId="4" fillId="6" borderId="0" xfId="0" applyFont="1" applyFill="1" applyAlignment="1">
      <alignment horizontal="center" vertical="center" wrapText="1"/>
    </xf>
    <xf numFmtId="0" fontId="4" fillId="6" borderId="49" xfId="0" applyFont="1" applyFill="1" applyBorder="1" applyAlignment="1">
      <alignment horizontal="center" vertical="center" wrapText="1"/>
    </xf>
    <xf numFmtId="0" fontId="4" fillId="7" borderId="36" xfId="0" applyFont="1" applyFill="1" applyBorder="1" applyAlignment="1">
      <alignment horizontal="center" vertical="center" wrapText="1"/>
    </xf>
    <xf numFmtId="0" fontId="4" fillId="7" borderId="0" xfId="0" applyFont="1" applyFill="1" applyAlignment="1">
      <alignment horizontal="center" vertical="center" wrapText="1"/>
    </xf>
    <xf numFmtId="0" fontId="4" fillId="7" borderId="49" xfId="0" applyFont="1" applyFill="1" applyBorder="1" applyAlignment="1">
      <alignment horizontal="center" vertical="center" wrapText="1"/>
    </xf>
    <xf numFmtId="0" fontId="10" fillId="7" borderId="35" xfId="0" applyFont="1" applyFill="1" applyBorder="1" applyAlignment="1">
      <alignment horizontal="center" vertical="center"/>
    </xf>
    <xf numFmtId="0" fontId="4" fillId="5" borderId="50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5" borderId="51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4" fillId="5" borderId="52" xfId="0" applyFont="1" applyFill="1" applyBorder="1" applyAlignment="1">
      <alignment horizontal="center" vertical="center" wrapText="1"/>
    </xf>
    <xf numFmtId="0" fontId="4" fillId="6" borderId="51" xfId="0" applyFont="1" applyFill="1" applyBorder="1" applyAlignment="1">
      <alignment horizontal="center" vertical="center" wrapText="1"/>
    </xf>
    <xf numFmtId="0" fontId="4" fillId="6" borderId="3" xfId="0" applyFont="1" applyFill="1" applyBorder="1" applyAlignment="1">
      <alignment horizontal="center" vertical="center" wrapText="1"/>
    </xf>
    <xf numFmtId="0" fontId="4" fillId="6" borderId="52" xfId="0" applyFont="1" applyFill="1" applyBorder="1" applyAlignment="1">
      <alignment horizontal="center" vertical="center" wrapText="1"/>
    </xf>
    <xf numFmtId="0" fontId="4" fillId="7" borderId="51" xfId="0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0" fontId="4" fillId="7" borderId="52" xfId="0" applyFont="1" applyFill="1" applyBorder="1" applyAlignment="1">
      <alignment horizontal="center" vertical="center" wrapText="1"/>
    </xf>
    <xf numFmtId="0" fontId="10" fillId="7" borderId="8" xfId="0" applyFont="1" applyFill="1" applyBorder="1" applyAlignment="1">
      <alignment horizontal="center" vertical="center"/>
    </xf>
    <xf numFmtId="0" fontId="4" fillId="5" borderId="53" xfId="0" applyFont="1" applyFill="1" applyBorder="1" applyAlignment="1">
      <alignment horizontal="center" vertical="center"/>
    </xf>
    <xf numFmtId="0" fontId="4" fillId="0" borderId="10" xfId="0" applyFont="1" applyBorder="1">
      <alignment vertical="center"/>
    </xf>
    <xf numFmtId="0" fontId="4" fillId="0" borderId="11" xfId="0" applyFont="1" applyBorder="1" applyAlignment="1">
      <alignment horizontal="right" vertical="center"/>
    </xf>
    <xf numFmtId="4" fontId="4" fillId="0" borderId="13" xfId="0" applyNumberFormat="1" applyFont="1" applyBorder="1" applyAlignment="1">
      <alignment horizontal="center" vertical="center"/>
    </xf>
    <xf numFmtId="181" fontId="9" fillId="0" borderId="11" xfId="0" applyNumberFormat="1" applyFont="1" applyBorder="1" applyAlignment="1">
      <alignment horizontal="left" vertical="center"/>
    </xf>
    <xf numFmtId="0" fontId="4" fillId="0" borderId="11" xfId="0" applyFont="1" applyBorder="1" applyAlignment="1">
      <alignment horizontal="center" vertical="center"/>
    </xf>
    <xf numFmtId="0" fontId="4" fillId="0" borderId="54" xfId="0" applyFont="1" applyBorder="1">
      <alignment vertical="center"/>
    </xf>
    <xf numFmtId="0" fontId="4" fillId="2" borderId="36" xfId="0" applyFont="1" applyFill="1" applyBorder="1">
      <alignment vertical="center"/>
    </xf>
    <xf numFmtId="0" fontId="4" fillId="0" borderId="38" xfId="0" applyFont="1" applyBorder="1" applyAlignment="1">
      <alignment horizontal="center" vertical="center"/>
    </xf>
    <xf numFmtId="182" fontId="4" fillId="0" borderId="37" xfId="0" applyNumberFormat="1" applyFont="1" applyBorder="1">
      <alignment vertical="center"/>
    </xf>
    <xf numFmtId="182" fontId="4" fillId="0" borderId="39" xfId="0" applyNumberFormat="1" applyFont="1" applyBorder="1">
      <alignment vertical="center"/>
    </xf>
    <xf numFmtId="176" fontId="4" fillId="0" borderId="55" xfId="0" applyNumberFormat="1" applyFont="1" applyBorder="1" applyAlignment="1">
      <alignment horizontal="left" vertical="center"/>
    </xf>
    <xf numFmtId="183" fontId="4" fillId="0" borderId="35" xfId="0" applyNumberFormat="1" applyFont="1" applyBorder="1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5" fillId="0" borderId="50" xfId="0" applyFont="1" applyBorder="1">
      <alignment vertical="center"/>
    </xf>
    <xf numFmtId="0" fontId="4" fillId="0" borderId="37" xfId="0" applyFont="1" applyBorder="1" applyAlignment="1" applyProtection="1">
      <alignment horizontal="center" vertical="center"/>
      <protection locked="0"/>
    </xf>
    <xf numFmtId="2" fontId="8" fillId="0" borderId="37" xfId="0" applyNumberFormat="1" applyFont="1" applyBorder="1" applyAlignment="1">
      <alignment horizontal="right" vertical="center"/>
    </xf>
    <xf numFmtId="176" fontId="8" fillId="0" borderId="20" xfId="0" applyNumberFormat="1" applyFont="1" applyBorder="1" applyAlignment="1">
      <alignment horizontal="right" vertical="center"/>
    </xf>
    <xf numFmtId="184" fontId="4" fillId="0" borderId="35" xfId="0" applyNumberFormat="1" applyFont="1" applyBorder="1">
      <alignment vertical="center"/>
    </xf>
    <xf numFmtId="0" fontId="8" fillId="2" borderId="36" xfId="0" applyFont="1" applyFill="1" applyBorder="1">
      <alignment vertical="center"/>
    </xf>
    <xf numFmtId="0" fontId="4" fillId="0" borderId="37" xfId="0" applyFont="1" applyBorder="1" applyAlignment="1">
      <alignment horizontal="center" vertical="center"/>
    </xf>
    <xf numFmtId="2" fontId="4" fillId="0" borderId="37" xfId="0" applyNumberFormat="1" applyFont="1" applyBorder="1">
      <alignment vertical="center"/>
    </xf>
    <xf numFmtId="41" fontId="9" fillId="0" borderId="29" xfId="0" applyNumberFormat="1" applyFont="1" applyBorder="1">
      <alignment vertical="center"/>
    </xf>
    <xf numFmtId="183" fontId="9" fillId="0" borderId="0" xfId="0" applyNumberFormat="1" applyFont="1">
      <alignment vertical="center"/>
    </xf>
    <xf numFmtId="41" fontId="9" fillId="0" borderId="0" xfId="0" applyNumberFormat="1" applyFont="1">
      <alignment vertical="center"/>
    </xf>
    <xf numFmtId="185" fontId="4" fillId="0" borderId="30" xfId="0" applyNumberFormat="1" applyFont="1" applyBorder="1">
      <alignment vertical="center"/>
    </xf>
    <xf numFmtId="0" fontId="5" fillId="0" borderId="26" xfId="0" applyFont="1" applyBorder="1" applyAlignment="1">
      <alignment horizontal="center" vertical="center"/>
    </xf>
    <xf numFmtId="0" fontId="5" fillId="0" borderId="56" xfId="0" applyFont="1" applyBorder="1">
      <alignment vertical="center"/>
    </xf>
    <xf numFmtId="0" fontId="4" fillId="0" borderId="17" xfId="0" applyFont="1" applyBorder="1" applyAlignment="1">
      <alignment horizontal="right" vertical="center" shrinkToFit="1"/>
    </xf>
    <xf numFmtId="182" fontId="4" fillId="0" borderId="19" xfId="0" applyNumberFormat="1" applyFont="1" applyBorder="1">
      <alignment vertical="center"/>
    </xf>
    <xf numFmtId="182" fontId="4" fillId="0" borderId="24" xfId="0" applyNumberFormat="1" applyFont="1" applyBorder="1">
      <alignment vertical="center"/>
    </xf>
    <xf numFmtId="176" fontId="4" fillId="0" borderId="57" xfId="0" applyNumberFormat="1" applyFont="1" applyBorder="1" applyAlignment="1">
      <alignment horizontal="left" vertical="center"/>
    </xf>
    <xf numFmtId="0" fontId="5" fillId="0" borderId="16" xfId="0" applyFont="1" applyBorder="1">
      <alignment vertical="center"/>
    </xf>
    <xf numFmtId="0" fontId="5" fillId="0" borderId="17" xfId="0" applyFont="1" applyBorder="1" applyAlignment="1">
      <alignment horizontal="center" vertical="center"/>
    </xf>
    <xf numFmtId="0" fontId="5" fillId="0" borderId="58" xfId="0" applyFont="1" applyBorder="1">
      <alignment vertical="center"/>
    </xf>
    <xf numFmtId="0" fontId="4" fillId="0" borderId="0" xfId="0" applyFont="1" applyAlignment="1">
      <alignment horizontal="right" vertical="center" shrinkToFit="1"/>
    </xf>
    <xf numFmtId="176" fontId="9" fillId="0" borderId="20" xfId="0" applyNumberFormat="1" applyFont="1" applyBorder="1" applyAlignment="1">
      <alignment horizontal="right" vertical="center"/>
    </xf>
    <xf numFmtId="0" fontId="5" fillId="2" borderId="36" xfId="0" applyFont="1" applyFill="1" applyBorder="1">
      <alignment vertical="center"/>
    </xf>
    <xf numFmtId="0" fontId="4" fillId="0" borderId="36" xfId="0" applyFont="1" applyBorder="1">
      <alignment vertical="center"/>
    </xf>
    <xf numFmtId="0" fontId="5" fillId="0" borderId="36" xfId="0" applyFont="1" applyBorder="1">
      <alignment vertical="center"/>
    </xf>
    <xf numFmtId="0" fontId="4" fillId="0" borderId="59" xfId="0" applyFont="1" applyBorder="1">
      <alignment vertical="center"/>
    </xf>
    <xf numFmtId="0" fontId="4" fillId="0" borderId="60" xfId="0" applyFont="1" applyBorder="1" applyAlignment="1">
      <alignment horizontal="right" vertical="center" shrinkToFit="1"/>
    </xf>
    <xf numFmtId="0" fontId="4" fillId="0" borderId="61" xfId="0" applyFont="1" applyBorder="1" applyAlignment="1">
      <alignment horizontal="center" vertical="center"/>
    </xf>
    <xf numFmtId="0" fontId="4" fillId="0" borderId="62" xfId="0" applyFont="1" applyBorder="1" applyAlignment="1" applyProtection="1">
      <alignment horizontal="center" vertical="center"/>
      <protection locked="0"/>
    </xf>
    <xf numFmtId="2" fontId="4" fillId="0" borderId="62" xfId="0" applyNumberFormat="1" applyFont="1" applyBorder="1">
      <alignment vertical="center"/>
    </xf>
    <xf numFmtId="186" fontId="4" fillId="0" borderId="63" xfId="0" applyNumberFormat="1" applyFont="1" applyBorder="1">
      <alignment vertical="center"/>
    </xf>
    <xf numFmtId="4" fontId="4" fillId="0" borderId="64" xfId="0" applyNumberFormat="1" applyFont="1" applyBorder="1">
      <alignment vertical="center"/>
    </xf>
    <xf numFmtId="177" fontId="4" fillId="0" borderId="64" xfId="0" applyNumberFormat="1" applyFont="1" applyBorder="1">
      <alignment vertical="center"/>
    </xf>
    <xf numFmtId="0" fontId="5" fillId="0" borderId="59" xfId="0" applyFont="1" applyBorder="1">
      <alignment vertical="center"/>
    </xf>
    <xf numFmtId="0" fontId="5" fillId="0" borderId="60" xfId="0" applyFont="1" applyBorder="1" applyAlignment="1">
      <alignment horizontal="center" vertical="center"/>
    </xf>
    <xf numFmtId="0" fontId="5" fillId="0" borderId="65" xfId="0" applyFont="1" applyBorder="1">
      <alignment vertical="center"/>
    </xf>
    <xf numFmtId="0" fontId="5" fillId="0" borderId="26" xfId="0" applyFont="1" applyBorder="1">
      <alignment vertical="center"/>
    </xf>
    <xf numFmtId="0" fontId="4" fillId="2" borderId="59" xfId="0" applyFont="1" applyFill="1" applyBorder="1">
      <alignment vertical="center"/>
    </xf>
    <xf numFmtId="0" fontId="4" fillId="2" borderId="60" xfId="0" applyFont="1" applyFill="1" applyBorder="1" applyAlignment="1">
      <alignment horizontal="right" vertical="center"/>
    </xf>
    <xf numFmtId="0" fontId="16" fillId="0" borderId="60" xfId="0" applyFont="1" applyBorder="1">
      <alignment vertical="center"/>
    </xf>
    <xf numFmtId="187" fontId="4" fillId="0" borderId="63" xfId="0" applyNumberFormat="1" applyFont="1" applyBorder="1">
      <alignment vertical="center"/>
    </xf>
    <xf numFmtId="0" fontId="4" fillId="0" borderId="19" xfId="0" applyFont="1" applyBorder="1" applyAlignment="1" applyProtection="1">
      <alignment horizontal="center" vertical="center"/>
      <protection locked="0"/>
    </xf>
    <xf numFmtId="2" fontId="4" fillId="0" borderId="19" xfId="0" applyNumberFormat="1" applyFont="1" applyBorder="1">
      <alignment vertical="center"/>
    </xf>
    <xf numFmtId="186" fontId="4" fillId="0" borderId="57" xfId="0" applyNumberFormat="1" applyFont="1" applyBorder="1">
      <alignment vertical="center"/>
    </xf>
    <xf numFmtId="0" fontId="16" fillId="0" borderId="60" xfId="0" applyFont="1" applyBorder="1" applyAlignment="1">
      <alignment horizontal="left" vertical="center"/>
    </xf>
    <xf numFmtId="0" fontId="4" fillId="2" borderId="66" xfId="0" applyFont="1" applyFill="1" applyBorder="1" applyAlignment="1">
      <alignment horizontal="right" vertical="center"/>
    </xf>
    <xf numFmtId="188" fontId="4" fillId="0" borderId="62" xfId="0" applyNumberFormat="1" applyFont="1" applyBorder="1">
      <alignment vertical="center"/>
    </xf>
    <xf numFmtId="176" fontId="4" fillId="0" borderId="63" xfId="0" applyNumberFormat="1" applyFont="1" applyBorder="1" applyAlignment="1">
      <alignment horizontal="center" vertical="center"/>
    </xf>
    <xf numFmtId="0" fontId="4" fillId="2" borderId="67" xfId="0" applyFont="1" applyFill="1" applyBorder="1">
      <alignment vertical="center"/>
    </xf>
    <xf numFmtId="0" fontId="4" fillId="2" borderId="68" xfId="0" applyFont="1" applyFill="1" applyBorder="1" applyAlignment="1">
      <alignment horizontal="right" vertical="center"/>
    </xf>
    <xf numFmtId="0" fontId="4" fillId="0" borderId="69" xfId="0" applyFont="1" applyBorder="1" applyAlignment="1">
      <alignment horizontal="center" vertical="center"/>
    </xf>
    <xf numFmtId="0" fontId="4" fillId="0" borderId="70" xfId="0" applyFont="1" applyBorder="1" applyAlignment="1" applyProtection="1">
      <alignment horizontal="center" vertical="center"/>
      <protection locked="0"/>
    </xf>
    <xf numFmtId="2" fontId="4" fillId="0" borderId="70" xfId="0" applyNumberFormat="1" applyFont="1" applyBorder="1">
      <alignment vertical="center"/>
    </xf>
    <xf numFmtId="186" fontId="8" fillId="0" borderId="71" xfId="0" applyNumberFormat="1" applyFont="1" applyBorder="1">
      <alignment vertical="center"/>
    </xf>
    <xf numFmtId="4" fontId="4" fillId="0" borderId="72" xfId="0" applyNumberFormat="1" applyFont="1" applyBorder="1">
      <alignment vertical="center"/>
    </xf>
    <xf numFmtId="177" fontId="4" fillId="0" borderId="72" xfId="0" applyNumberFormat="1" applyFont="1" applyBorder="1">
      <alignment vertical="center"/>
    </xf>
    <xf numFmtId="0" fontId="5" fillId="0" borderId="40" xfId="0" applyFont="1" applyBorder="1">
      <alignment vertical="center"/>
    </xf>
    <xf numFmtId="0" fontId="5" fillId="0" borderId="40" xfId="0" applyFont="1" applyBorder="1" applyAlignment="1">
      <alignment horizontal="center" vertical="center"/>
    </xf>
    <xf numFmtId="0" fontId="5" fillId="0" borderId="73" xfId="0" applyFont="1" applyBorder="1">
      <alignment vertical="center"/>
    </xf>
    <xf numFmtId="0" fontId="4" fillId="2" borderId="3" xfId="0" applyFont="1" applyFill="1" applyBorder="1" applyAlignment="1">
      <alignment horizontal="centerContinuous" vertical="center"/>
    </xf>
    <xf numFmtId="0" fontId="4" fillId="0" borderId="74" xfId="0" applyFont="1" applyBorder="1" applyAlignment="1">
      <alignment horizontal="center" vertical="center"/>
    </xf>
    <xf numFmtId="0" fontId="4" fillId="0" borderId="75" xfId="0" applyFont="1" applyBorder="1" applyAlignment="1">
      <alignment horizontal="center" vertical="center"/>
    </xf>
    <xf numFmtId="4" fontId="4" fillId="0" borderId="75" xfId="0" applyNumberFormat="1" applyFont="1" applyBorder="1">
      <alignment vertical="center"/>
    </xf>
    <xf numFmtId="176" fontId="4" fillId="0" borderId="76" xfId="0" applyNumberFormat="1" applyFont="1" applyBorder="1">
      <alignment vertical="center"/>
    </xf>
    <xf numFmtId="4" fontId="4" fillId="0" borderId="8" xfId="0" applyNumberFormat="1" applyFont="1" applyBorder="1">
      <alignment vertical="center"/>
    </xf>
    <xf numFmtId="0" fontId="17" fillId="0" borderId="3" xfId="0" applyFont="1" applyBorder="1" applyAlignment="1">
      <alignment horizontal="left" vertical="center"/>
    </xf>
    <xf numFmtId="0" fontId="5" fillId="0" borderId="53" xfId="0" applyFont="1" applyBorder="1">
      <alignment vertical="center"/>
    </xf>
    <xf numFmtId="0" fontId="4" fillId="2" borderId="45" xfId="0" applyFont="1" applyFill="1" applyBorder="1">
      <alignment vertical="center"/>
    </xf>
    <xf numFmtId="0" fontId="4" fillId="2" borderId="44" xfId="0" applyFont="1" applyFill="1" applyBorder="1" applyAlignment="1">
      <alignment horizontal="right" vertical="center"/>
    </xf>
    <xf numFmtId="4" fontId="4" fillId="0" borderId="72" xfId="0" applyNumberFormat="1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54" xfId="0" applyFont="1" applyBorder="1" applyAlignment="1">
      <alignment horizontal="center" vertical="center"/>
    </xf>
    <xf numFmtId="189" fontId="4" fillId="0" borderId="16" xfId="0" applyNumberFormat="1" applyFont="1" applyBorder="1" applyAlignment="1">
      <alignment horizontal="center" vertical="center" shrinkToFit="1"/>
    </xf>
    <xf numFmtId="190" fontId="4" fillId="0" borderId="17" xfId="0" applyNumberFormat="1" applyFont="1" applyBorder="1" applyAlignment="1">
      <alignment horizontal="center" vertical="center" shrinkToFit="1"/>
    </xf>
    <xf numFmtId="191" fontId="9" fillId="0" borderId="19" xfId="0" applyNumberFormat="1" applyFont="1" applyBorder="1" applyAlignment="1">
      <alignment horizontal="right" vertical="center"/>
    </xf>
    <xf numFmtId="192" fontId="4" fillId="0" borderId="23" xfId="0" applyNumberFormat="1" applyFont="1" applyBorder="1" applyAlignment="1">
      <alignment horizontal="right" vertical="center"/>
    </xf>
    <xf numFmtId="189" fontId="4" fillId="0" borderId="22" xfId="0" applyNumberFormat="1" applyFont="1" applyBorder="1" applyAlignment="1">
      <alignment horizontal="center" vertical="center" shrinkToFit="1"/>
    </xf>
    <xf numFmtId="189" fontId="4" fillId="0" borderId="36" xfId="0" applyNumberFormat="1" applyFont="1" applyBorder="1" applyAlignment="1">
      <alignment horizontal="center" vertical="center" shrinkToFit="1"/>
    </xf>
    <xf numFmtId="190" fontId="4" fillId="0" borderId="0" xfId="0" applyNumberFormat="1" applyFont="1" applyAlignment="1">
      <alignment horizontal="center" vertical="center" shrinkToFit="1"/>
    </xf>
    <xf numFmtId="191" fontId="9" fillId="0" borderId="37" xfId="0" applyNumberFormat="1" applyFont="1" applyBorder="1" applyAlignment="1">
      <alignment horizontal="right" vertical="center"/>
    </xf>
    <xf numFmtId="192" fontId="4" fillId="0" borderId="20" xfId="0" applyNumberFormat="1" applyFont="1" applyBorder="1" applyAlignment="1">
      <alignment horizontal="right" vertical="center"/>
    </xf>
    <xf numFmtId="3" fontId="5" fillId="0" borderId="50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5" xfId="0" applyFont="1" applyBorder="1" applyAlignment="1">
      <alignment horizontal="left" vertical="center" shrinkToFit="1"/>
    </xf>
    <xf numFmtId="0" fontId="4" fillId="0" borderId="77" xfId="0" applyFont="1" applyBorder="1" applyAlignment="1">
      <alignment horizontal="left" vertical="center" shrinkToFit="1"/>
    </xf>
    <xf numFmtId="1" fontId="8" fillId="0" borderId="31" xfId="0" applyNumberFormat="1" applyFont="1" applyBorder="1" applyAlignment="1">
      <alignment horizontal="center" vertical="center"/>
    </xf>
    <xf numFmtId="0" fontId="4" fillId="0" borderId="78" xfId="0" applyFont="1" applyBorder="1" applyAlignment="1">
      <alignment horizontal="center" vertical="center"/>
    </xf>
    <xf numFmtId="2" fontId="8" fillId="0" borderId="28" xfId="0" applyNumberFormat="1" applyFont="1" applyBorder="1" applyAlignment="1">
      <alignment horizontal="right" vertical="center"/>
    </xf>
    <xf numFmtId="0" fontId="4" fillId="0" borderId="28" xfId="0" applyFont="1" applyBorder="1" applyAlignment="1">
      <alignment horizontal="center" vertical="center"/>
    </xf>
    <xf numFmtId="3" fontId="5" fillId="0" borderId="56" xfId="0" applyNumberFormat="1" applyFont="1" applyBorder="1" applyAlignment="1">
      <alignment horizontal="center" vertical="center"/>
    </xf>
    <xf numFmtId="190" fontId="4" fillId="0" borderId="36" xfId="0" applyNumberFormat="1" applyFont="1" applyBorder="1">
      <alignment vertical="center"/>
    </xf>
    <xf numFmtId="190" fontId="4" fillId="0" borderId="37" xfId="0" applyNumberFormat="1" applyFont="1" applyBorder="1">
      <alignment vertical="center"/>
    </xf>
    <xf numFmtId="41" fontId="4" fillId="0" borderId="20" xfId="0" applyNumberFormat="1" applyFont="1" applyBorder="1" applyAlignment="1">
      <alignment horizontal="right" vertical="center"/>
    </xf>
    <xf numFmtId="0" fontId="5" fillId="0" borderId="0" xfId="0" applyFont="1" applyAlignment="1">
      <alignment horizontal="left" vertical="center"/>
    </xf>
    <xf numFmtId="3" fontId="5" fillId="0" borderId="58" xfId="0" applyNumberFormat="1" applyFont="1" applyBorder="1" applyAlignment="1">
      <alignment horizontal="center" vertical="center"/>
    </xf>
    <xf numFmtId="0" fontId="4" fillId="2" borderId="25" xfId="0" applyFont="1" applyFill="1" applyBorder="1" applyAlignment="1">
      <alignment vertical="center" shrinkToFit="1"/>
    </xf>
    <xf numFmtId="0" fontId="4" fillId="2" borderId="77" xfId="0" applyFont="1" applyFill="1" applyBorder="1" applyAlignment="1">
      <alignment horizontal="right" vertical="center" shrinkToFit="1"/>
    </xf>
    <xf numFmtId="0" fontId="4" fillId="0" borderId="25" xfId="0" applyFont="1" applyBorder="1" applyAlignment="1">
      <alignment horizontal="center" vertical="center"/>
    </xf>
    <xf numFmtId="0" fontId="5" fillId="0" borderId="26" xfId="0" applyFont="1" applyBorder="1" applyAlignment="1">
      <alignment horizontal="left" vertical="center"/>
    </xf>
    <xf numFmtId="0" fontId="4" fillId="2" borderId="16" xfId="0" applyFont="1" applyFill="1" applyBorder="1" applyAlignment="1">
      <alignment vertical="center" shrinkToFit="1"/>
    </xf>
    <xf numFmtId="0" fontId="4" fillId="2" borderId="17" xfId="0" applyFont="1" applyFill="1" applyBorder="1" applyAlignment="1">
      <alignment horizontal="right" vertical="center" shrinkToFit="1"/>
    </xf>
    <xf numFmtId="190" fontId="4" fillId="0" borderId="16" xfId="0" applyNumberFormat="1" applyFont="1" applyBorder="1">
      <alignment vertical="center"/>
    </xf>
    <xf numFmtId="190" fontId="4" fillId="0" borderId="19" xfId="0" applyNumberFormat="1" applyFont="1" applyBorder="1">
      <alignment vertical="center"/>
    </xf>
    <xf numFmtId="191" fontId="4" fillId="0" borderId="19" xfId="0" applyNumberFormat="1" applyFont="1" applyBorder="1" applyAlignment="1">
      <alignment horizontal="right" vertical="center"/>
    </xf>
    <xf numFmtId="0" fontId="4" fillId="2" borderId="26" xfId="0" applyFont="1" applyFill="1" applyBorder="1" applyAlignment="1">
      <alignment horizontal="right" vertical="center" shrinkToFit="1"/>
    </xf>
    <xf numFmtId="191" fontId="4" fillId="0" borderId="37" xfId="0" applyNumberFormat="1" applyFont="1" applyBorder="1" applyAlignment="1">
      <alignment horizontal="right" vertical="center"/>
    </xf>
    <xf numFmtId="176" fontId="4" fillId="0" borderId="55" xfId="0" applyNumberFormat="1" applyFont="1" applyBorder="1">
      <alignment vertical="center"/>
    </xf>
    <xf numFmtId="0" fontId="4" fillId="2" borderId="40" xfId="0" applyFont="1" applyFill="1" applyBorder="1" applyAlignment="1">
      <alignment horizontal="right" vertical="center"/>
    </xf>
    <xf numFmtId="0" fontId="16" fillId="0" borderId="67" xfId="0" applyFont="1" applyBorder="1">
      <alignment vertical="center"/>
    </xf>
    <xf numFmtId="3" fontId="5" fillId="0" borderId="73" xfId="0" applyNumberFormat="1" applyFont="1" applyBorder="1" applyAlignment="1">
      <alignment horizontal="center" vertical="center"/>
    </xf>
    <xf numFmtId="0" fontId="5" fillId="0" borderId="54" xfId="0" applyFont="1" applyBorder="1">
      <alignment vertical="center"/>
    </xf>
    <xf numFmtId="190" fontId="4" fillId="0" borderId="34" xfId="0" applyNumberFormat="1" applyFont="1" applyBorder="1">
      <alignment vertical="center"/>
    </xf>
    <xf numFmtId="190" fontId="4" fillId="0" borderId="24" xfId="0" applyNumberFormat="1" applyFont="1" applyBorder="1">
      <alignment vertical="center"/>
    </xf>
    <xf numFmtId="0" fontId="11" fillId="0" borderId="17" xfId="0" applyFont="1" applyBorder="1">
      <alignment vertical="center"/>
    </xf>
    <xf numFmtId="0" fontId="4" fillId="2" borderId="67" xfId="0" applyFont="1" applyFill="1" applyBorder="1" applyAlignment="1">
      <alignment vertical="center" shrinkToFit="1"/>
    </xf>
    <xf numFmtId="0" fontId="4" fillId="2" borderId="68" xfId="0" applyFont="1" applyFill="1" applyBorder="1" applyAlignment="1">
      <alignment horizontal="right" vertical="center" shrinkToFit="1"/>
    </xf>
    <xf numFmtId="0" fontId="4" fillId="2" borderId="67" xfId="0" applyFont="1" applyFill="1" applyBorder="1" applyAlignment="1">
      <alignment horizontal="center" vertical="center"/>
    </xf>
    <xf numFmtId="0" fontId="4" fillId="0" borderId="70" xfId="0" applyFont="1" applyBorder="1" applyAlignment="1">
      <alignment horizontal="center" vertical="center"/>
    </xf>
    <xf numFmtId="4" fontId="4" fillId="0" borderId="70" xfId="0" applyNumberFormat="1" applyFont="1" applyBorder="1">
      <alignment vertical="center"/>
    </xf>
    <xf numFmtId="41" fontId="4" fillId="0" borderId="79" xfId="0" applyNumberFormat="1" applyFont="1" applyBorder="1">
      <alignment vertical="center"/>
    </xf>
    <xf numFmtId="0" fontId="4" fillId="2" borderId="69" xfId="0" applyFont="1" applyFill="1" applyBorder="1" applyAlignment="1">
      <alignment horizontal="center" vertical="center"/>
    </xf>
    <xf numFmtId="0" fontId="4" fillId="0" borderId="80" xfId="0" applyFont="1" applyBorder="1" applyAlignment="1">
      <alignment horizontal="center" vertical="center"/>
    </xf>
    <xf numFmtId="0" fontId="11" fillId="0" borderId="40" xfId="0" applyFont="1" applyBorder="1" applyAlignment="1">
      <alignment horizontal="left" vertical="center"/>
    </xf>
    <xf numFmtId="0" fontId="4" fillId="0" borderId="81" xfId="0" applyFont="1" applyBorder="1" applyAlignment="1">
      <alignment horizontal="center" vertical="top"/>
    </xf>
    <xf numFmtId="0" fontId="4" fillId="2" borderId="40" xfId="0" applyFont="1" applyFill="1" applyBorder="1">
      <alignment vertical="center"/>
    </xf>
    <xf numFmtId="0" fontId="4" fillId="0" borderId="40" xfId="0" applyFont="1" applyBorder="1" applyAlignment="1">
      <alignment horizontal="center" vertical="center"/>
    </xf>
    <xf numFmtId="3" fontId="4" fillId="0" borderId="40" xfId="0" applyNumberFormat="1" applyFont="1" applyBorder="1">
      <alignment vertical="center"/>
    </xf>
    <xf numFmtId="176" fontId="4" fillId="0" borderId="68" xfId="0" applyNumberFormat="1" applyFont="1" applyBorder="1">
      <alignment vertical="center"/>
    </xf>
    <xf numFmtId="0" fontId="4" fillId="0" borderId="82" xfId="0" applyFont="1" applyBorder="1" applyAlignment="1">
      <alignment horizontal="center" vertical="center"/>
    </xf>
    <xf numFmtId="0" fontId="4" fillId="2" borderId="83" xfId="0" applyFont="1" applyFill="1" applyBorder="1" applyAlignment="1">
      <alignment horizontal="centerContinuous" vertical="center"/>
    </xf>
    <xf numFmtId="0" fontId="4" fillId="2" borderId="51" xfId="0" applyFont="1" applyFill="1" applyBorder="1" applyAlignment="1">
      <alignment horizontal="center" vertical="center"/>
    </xf>
    <xf numFmtId="0" fontId="4" fillId="0" borderId="8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176" fontId="4" fillId="0" borderId="52" xfId="0" applyNumberFormat="1" applyFont="1" applyBorder="1" applyAlignment="1">
      <alignment horizontal="center" vertical="center"/>
    </xf>
    <xf numFmtId="3" fontId="5" fillId="0" borderId="3" xfId="0" applyNumberFormat="1" applyFont="1" applyBorder="1" applyAlignment="1">
      <alignment horizontal="center" vertical="center"/>
    </xf>
    <xf numFmtId="0" fontId="4" fillId="8" borderId="85" xfId="0" applyFont="1" applyFill="1" applyBorder="1" applyAlignment="1">
      <alignment horizontal="center" vertical="center"/>
    </xf>
    <xf numFmtId="0" fontId="4" fillId="9" borderId="10" xfId="0" applyFont="1" applyFill="1" applyBorder="1" applyAlignment="1">
      <alignment horizontal="center" vertical="center"/>
    </xf>
    <xf numFmtId="0" fontId="4" fillId="9" borderId="11" xfId="0" applyFont="1" applyFill="1" applyBorder="1" applyAlignment="1">
      <alignment horizontal="center" vertical="center"/>
    </xf>
    <xf numFmtId="0" fontId="4" fillId="9" borderId="10" xfId="0" applyFont="1" applyFill="1" applyBorder="1" applyAlignment="1">
      <alignment horizontal="center" vertical="center"/>
    </xf>
    <xf numFmtId="176" fontId="4" fillId="0" borderId="86" xfId="0" applyNumberFormat="1" applyFont="1" applyBorder="1" applyAlignment="1">
      <alignment horizontal="center" vertical="center"/>
    </xf>
    <xf numFmtId="4" fontId="4" fillId="0" borderId="15" xfId="0" applyNumberFormat="1" applyFont="1" applyBorder="1">
      <alignment vertical="center"/>
    </xf>
    <xf numFmtId="177" fontId="4" fillId="0" borderId="15" xfId="0" applyNumberFormat="1" applyFont="1" applyBorder="1">
      <alignment vertical="center"/>
    </xf>
    <xf numFmtId="0" fontId="19" fillId="0" borderId="11" xfId="0" applyFont="1" applyBorder="1" applyAlignment="1">
      <alignment horizontal="left" vertical="center"/>
    </xf>
    <xf numFmtId="0" fontId="4" fillId="8" borderId="87" xfId="0" applyFont="1" applyFill="1" applyBorder="1" applyAlignment="1">
      <alignment horizontal="center" vertical="center"/>
    </xf>
    <xf numFmtId="0" fontId="4" fillId="9" borderId="88" xfId="0" applyFont="1" applyFill="1" applyBorder="1" applyAlignment="1">
      <alignment horizontal="center" vertical="center"/>
    </xf>
    <xf numFmtId="0" fontId="4" fillId="9" borderId="41" xfId="0" applyFont="1" applyFill="1" applyBorder="1" applyAlignment="1">
      <alignment horizontal="center" vertical="center"/>
    </xf>
    <xf numFmtId="0" fontId="4" fillId="9" borderId="67" xfId="0" applyFont="1" applyFill="1" applyBorder="1" applyAlignment="1">
      <alignment horizontal="center" vertical="center"/>
    </xf>
    <xf numFmtId="176" fontId="4" fillId="0" borderId="68" xfId="0" applyNumberFormat="1" applyFont="1" applyBorder="1" applyAlignment="1">
      <alignment horizontal="center" vertical="center"/>
    </xf>
    <xf numFmtId="0" fontId="5" fillId="0" borderId="88" xfId="0" applyFont="1" applyBorder="1" applyAlignment="1">
      <alignment horizontal="left" vertical="center"/>
    </xf>
    <xf numFmtId="0" fontId="5" fillId="0" borderId="41" xfId="0" applyFont="1" applyBorder="1" applyAlignment="1">
      <alignment horizontal="center" vertical="center"/>
    </xf>
    <xf numFmtId="0" fontId="5" fillId="0" borderId="89" xfId="0" applyFont="1" applyBorder="1">
      <alignment vertical="center"/>
    </xf>
    <xf numFmtId="9" fontId="4" fillId="9" borderId="67" xfId="0" applyNumberFormat="1" applyFont="1" applyFill="1" applyBorder="1" applyAlignment="1">
      <alignment horizontal="center" vertical="center"/>
    </xf>
    <xf numFmtId="9" fontId="4" fillId="0" borderId="40" xfId="0" applyNumberFormat="1" applyFont="1" applyBorder="1" applyAlignment="1">
      <alignment horizontal="center" vertical="center"/>
    </xf>
    <xf numFmtId="0" fontId="5" fillId="0" borderId="88" xfId="0" applyFont="1" applyBorder="1" applyAlignment="1">
      <alignment horizontal="center" vertical="center"/>
    </xf>
    <xf numFmtId="193" fontId="4" fillId="9" borderId="67" xfId="0" applyNumberFormat="1" applyFont="1" applyFill="1" applyBorder="1" applyAlignment="1">
      <alignment horizontal="center" vertical="center"/>
    </xf>
    <xf numFmtId="4" fontId="8" fillId="0" borderId="72" xfId="0" applyNumberFormat="1" applyFont="1" applyBorder="1">
      <alignment vertical="center"/>
    </xf>
    <xf numFmtId="177" fontId="8" fillId="0" borderId="72" xfId="0" applyNumberFormat="1" applyFont="1" applyBorder="1">
      <alignment vertical="center"/>
    </xf>
    <xf numFmtId="0" fontId="11" fillId="0" borderId="88" xfId="0" applyFont="1" applyBorder="1">
      <alignment vertical="center"/>
    </xf>
    <xf numFmtId="0" fontId="5" fillId="0" borderId="41" xfId="0" applyFont="1" applyBorder="1">
      <alignment vertical="center"/>
    </xf>
    <xf numFmtId="176" fontId="4" fillId="2" borderId="88" xfId="0" applyNumberFormat="1" applyFont="1" applyFill="1" applyBorder="1" applyAlignment="1">
      <alignment horizontal="center" vertical="center"/>
    </xf>
    <xf numFmtId="176" fontId="4" fillId="2" borderId="41" xfId="0" applyNumberFormat="1" applyFont="1" applyFill="1" applyBorder="1" applyAlignment="1">
      <alignment horizontal="center" vertical="center"/>
    </xf>
    <xf numFmtId="176" fontId="4" fillId="0" borderId="41" xfId="0" applyNumberFormat="1" applyFont="1" applyBorder="1" applyAlignment="1">
      <alignment horizontal="center" vertical="center"/>
    </xf>
    <xf numFmtId="4" fontId="4" fillId="0" borderId="41" xfId="0" applyNumberFormat="1" applyFont="1" applyBorder="1" applyAlignment="1">
      <alignment horizontal="center" vertical="center"/>
    </xf>
    <xf numFmtId="4" fontId="4" fillId="0" borderId="90" xfId="0" applyNumberFormat="1" applyFont="1" applyBorder="1" applyAlignment="1">
      <alignment horizontal="center" vertical="center"/>
    </xf>
    <xf numFmtId="0" fontId="4" fillId="0" borderId="40" xfId="0" quotePrefix="1" applyFont="1" applyBorder="1" applyAlignment="1">
      <alignment horizontal="center" vertical="center"/>
    </xf>
    <xf numFmtId="0" fontId="11" fillId="0" borderId="88" xfId="0" applyFont="1" applyBorder="1" applyAlignment="1">
      <alignment horizontal="left" vertical="center" wrapText="1"/>
    </xf>
    <xf numFmtId="0" fontId="11" fillId="0" borderId="41" xfId="0" applyFont="1" applyBorder="1" applyAlignment="1">
      <alignment horizontal="left" vertical="center"/>
    </xf>
    <xf numFmtId="0" fontId="11" fillId="0" borderId="89" xfId="0" applyFont="1" applyBorder="1" applyAlignment="1">
      <alignment horizontal="left" vertical="center"/>
    </xf>
    <xf numFmtId="0" fontId="4" fillId="8" borderId="91" xfId="0" applyFont="1" applyFill="1" applyBorder="1" applyAlignment="1">
      <alignment horizontal="center" vertical="center"/>
    </xf>
    <xf numFmtId="3" fontId="5" fillId="0" borderId="89" xfId="0" applyNumberFormat="1" applyFont="1" applyBorder="1" applyAlignment="1">
      <alignment horizontal="center" vertical="center"/>
    </xf>
    <xf numFmtId="176" fontId="4" fillId="0" borderId="68" xfId="0" applyNumberFormat="1" applyFont="1" applyBorder="1" applyAlignment="1">
      <alignment horizontal="center" vertical="center" shrinkToFit="1"/>
    </xf>
    <xf numFmtId="0" fontId="4" fillId="0" borderId="40" xfId="0" quotePrefix="1" applyFont="1" applyBorder="1" applyAlignment="1">
      <alignment horizontal="right" vertical="center"/>
    </xf>
    <xf numFmtId="0" fontId="4" fillId="8" borderId="82" xfId="0" applyFont="1" applyFill="1" applyBorder="1" applyAlignment="1">
      <alignment horizontal="center" vertical="center"/>
    </xf>
    <xf numFmtId="0" fontId="4" fillId="9" borderId="51" xfId="0" applyFont="1" applyFill="1" applyBorder="1" applyAlignment="1">
      <alignment horizontal="center" vertical="center"/>
    </xf>
    <xf numFmtId="0" fontId="4" fillId="9" borderId="3" xfId="0" applyFont="1" applyFill="1" applyBorder="1" applyAlignment="1">
      <alignment horizontal="center" vertical="center"/>
    </xf>
    <xf numFmtId="0" fontId="4" fillId="9" borderId="51" xfId="0" applyFont="1" applyFill="1" applyBorder="1" applyAlignment="1">
      <alignment horizontal="center" vertical="center"/>
    </xf>
    <xf numFmtId="3" fontId="4" fillId="0" borderId="3" xfId="0" applyNumberFormat="1" applyFont="1" applyBorder="1">
      <alignment vertical="center"/>
    </xf>
    <xf numFmtId="176" fontId="2" fillId="4" borderId="92" xfId="0" applyNumberFormat="1" applyFont="1" applyFill="1" applyBorder="1" applyAlignment="1">
      <alignment horizontal="center" vertical="center"/>
    </xf>
    <xf numFmtId="41" fontId="2" fillId="4" borderId="93" xfId="0" applyNumberFormat="1" applyFont="1" applyFill="1" applyBorder="1">
      <alignment vertical="center"/>
    </xf>
    <xf numFmtId="177" fontId="2" fillId="0" borderId="92" xfId="0" applyNumberFormat="1" applyFont="1" applyBorder="1">
      <alignment vertical="center"/>
    </xf>
    <xf numFmtId="177" fontId="2" fillId="0" borderId="93" xfId="0" applyNumberFormat="1" applyFont="1" applyBorder="1">
      <alignment vertical="center"/>
    </xf>
    <xf numFmtId="10" fontId="4" fillId="0" borderId="84" xfId="2" applyNumberFormat="1" applyFont="1" applyBorder="1">
      <alignment vertical="center"/>
    </xf>
    <xf numFmtId="3" fontId="4" fillId="0" borderId="84" xfId="0" applyNumberFormat="1" applyFont="1" applyBorder="1">
      <alignment vertical="center"/>
    </xf>
    <xf numFmtId="3" fontId="4" fillId="0" borderId="94" xfId="0" applyNumberFormat="1" applyFont="1" applyBorder="1">
      <alignment vertical="center"/>
    </xf>
    <xf numFmtId="0" fontId="4" fillId="0" borderId="95" xfId="0" applyFont="1" applyBorder="1" applyAlignment="1">
      <alignment horizontal="center" vertical="center"/>
    </xf>
    <xf numFmtId="0" fontId="4" fillId="0" borderId="96" xfId="0" applyFont="1" applyBorder="1" applyAlignment="1">
      <alignment horizontal="center" vertical="center"/>
    </xf>
    <xf numFmtId="0" fontId="4" fillId="0" borderId="97" xfId="0" applyFont="1" applyBorder="1" applyAlignment="1">
      <alignment horizontal="center" vertical="center"/>
    </xf>
    <xf numFmtId="176" fontId="4" fillId="0" borderId="92" xfId="0" applyNumberFormat="1" applyFont="1" applyBorder="1" applyAlignment="1">
      <alignment horizontal="center" vertical="center"/>
    </xf>
    <xf numFmtId="41" fontId="4" fillId="0" borderId="93" xfId="0" applyNumberFormat="1" applyFont="1" applyBorder="1">
      <alignment vertical="center"/>
    </xf>
    <xf numFmtId="10" fontId="4" fillId="0" borderId="9" xfId="2" applyNumberFormat="1" applyFont="1" applyBorder="1">
      <alignment vertical="center"/>
    </xf>
    <xf numFmtId="0" fontId="4" fillId="0" borderId="50" xfId="0" applyFont="1" applyBorder="1">
      <alignment vertical="center"/>
    </xf>
    <xf numFmtId="41" fontId="4" fillId="0" borderId="0" xfId="0" applyNumberFormat="1" applyFont="1" applyAlignment="1">
      <alignment horizontal="center" vertical="center"/>
    </xf>
    <xf numFmtId="41" fontId="4" fillId="0" borderId="0" xfId="0" applyNumberFormat="1" applyFont="1" applyAlignment="1">
      <alignment horizontal="right" vertical="center"/>
    </xf>
    <xf numFmtId="0" fontId="21" fillId="0" borderId="0" xfId="0" applyFont="1" applyAlignment="1">
      <alignment horizontal="center" vertical="center"/>
    </xf>
    <xf numFmtId="41" fontId="21" fillId="0" borderId="0" xfId="0" applyNumberFormat="1" applyFont="1" applyAlignment="1">
      <alignment horizontal="center" vertical="center"/>
    </xf>
    <xf numFmtId="43" fontId="4" fillId="0" borderId="0" xfId="0" applyNumberFormat="1" applyFont="1" applyAlignment="1">
      <alignment horizontal="center" vertical="center"/>
    </xf>
    <xf numFmtId="0" fontId="4" fillId="0" borderId="50" xfId="0" applyFont="1" applyBorder="1" applyAlignment="1">
      <alignment horizontal="center" vertical="center"/>
    </xf>
    <xf numFmtId="176" fontId="4" fillId="0" borderId="0" xfId="0" applyNumberFormat="1" applyFont="1" applyAlignment="1">
      <alignment horizontal="center" vertical="center" shrinkToFit="1"/>
    </xf>
    <xf numFmtId="4" fontId="4" fillId="0" borderId="0" xfId="0" applyNumberFormat="1" applyFont="1">
      <alignment vertical="center"/>
    </xf>
    <xf numFmtId="41" fontId="4" fillId="0" borderId="0" xfId="1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41" fontId="22" fillId="0" borderId="0" xfId="0" applyNumberFormat="1" applyFont="1" applyAlignment="1">
      <alignment horizontal="center" vertical="center"/>
    </xf>
    <xf numFmtId="0" fontId="22" fillId="0" borderId="0" xfId="0" quotePrefix="1" applyFont="1" applyAlignment="1">
      <alignment horizontal="center" vertical="center"/>
    </xf>
    <xf numFmtId="0" fontId="22" fillId="0" borderId="0" xfId="0" quotePrefix="1" applyFont="1" applyAlignment="1">
      <alignment horizontal="right" vertical="center"/>
    </xf>
    <xf numFmtId="0" fontId="22" fillId="0" borderId="0" xfId="0" applyFont="1" applyAlignment="1">
      <alignment vertical="center" wrapText="1"/>
    </xf>
    <xf numFmtId="0" fontId="22" fillId="0" borderId="0" xfId="0" applyFont="1" applyAlignment="1">
      <alignment horizontal="right" vertical="center"/>
    </xf>
    <xf numFmtId="0" fontId="22" fillId="0" borderId="0" xfId="0" applyFont="1">
      <alignment vertical="center"/>
    </xf>
    <xf numFmtId="183" fontId="22" fillId="0" borderId="0" xfId="0" applyNumberFormat="1" applyFont="1">
      <alignment vertical="center"/>
    </xf>
    <xf numFmtId="183" fontId="4" fillId="0" borderId="0" xfId="0" applyNumberFormat="1" applyFont="1">
      <alignment vertical="center"/>
    </xf>
    <xf numFmtId="0" fontId="22" fillId="0" borderId="0" xfId="0" applyFont="1" applyAlignment="1">
      <alignment horizontal="center" vertical="center" wrapText="1"/>
    </xf>
    <xf numFmtId="176" fontId="22" fillId="0" borderId="0" xfId="0" applyNumberFormat="1" applyFont="1">
      <alignment vertical="center"/>
    </xf>
    <xf numFmtId="0" fontId="22" fillId="0" borderId="0" xfId="0" applyFont="1" applyAlignment="1">
      <alignment horizontal="center" vertical="center"/>
    </xf>
    <xf numFmtId="0" fontId="4" fillId="0" borderId="1" xfId="0" applyFont="1" applyBorder="1">
      <alignment vertical="center"/>
    </xf>
    <xf numFmtId="0" fontId="2" fillId="0" borderId="2" xfId="0" applyFont="1" applyBorder="1">
      <alignment vertical="center"/>
    </xf>
    <xf numFmtId="0" fontId="4" fillId="0" borderId="2" xfId="0" applyFont="1" applyBorder="1">
      <alignment vertical="center"/>
    </xf>
    <xf numFmtId="0" fontId="4" fillId="0" borderId="3" xfId="0" applyFont="1" applyBorder="1">
      <alignment vertical="center"/>
    </xf>
    <xf numFmtId="0" fontId="4" fillId="0" borderId="3" xfId="0" applyFont="1" applyBorder="1" applyAlignment="1">
      <alignment horizontal="right" vertical="center"/>
    </xf>
    <xf numFmtId="176" fontId="4" fillId="0" borderId="3" xfId="0" applyNumberFormat="1" applyFont="1" applyBorder="1">
      <alignment vertical="center"/>
    </xf>
    <xf numFmtId="0" fontId="4" fillId="0" borderId="3" xfId="0" applyFont="1" applyBorder="1" applyAlignment="1">
      <alignment horizontal="left" vertical="center"/>
    </xf>
    <xf numFmtId="0" fontId="4" fillId="0" borderId="53" xfId="0" applyFont="1" applyBorder="1">
      <alignment vertical="center"/>
    </xf>
    <xf numFmtId="44" fontId="4" fillId="0" borderId="0" xfId="0" applyNumberFormat="1" applyFont="1">
      <alignment vertical="center"/>
    </xf>
    <xf numFmtId="0" fontId="8" fillId="10" borderId="98" xfId="0" quotePrefix="1" applyFont="1" applyFill="1" applyBorder="1" applyAlignment="1">
      <alignment horizontal="center" vertical="center"/>
    </xf>
    <xf numFmtId="0" fontId="8" fillId="10" borderId="88" xfId="0" quotePrefix="1" applyFont="1" applyFill="1" applyBorder="1" applyAlignment="1">
      <alignment horizontal="center" vertical="center"/>
    </xf>
    <xf numFmtId="0" fontId="8" fillId="10" borderId="90" xfId="0" quotePrefix="1" applyFont="1" applyFill="1" applyBorder="1" applyAlignment="1">
      <alignment horizontal="center" vertical="center"/>
    </xf>
    <xf numFmtId="0" fontId="8" fillId="10" borderId="72" xfId="0" quotePrefix="1" applyFont="1" applyFill="1" applyBorder="1" applyAlignment="1">
      <alignment horizontal="center" vertical="center"/>
    </xf>
    <xf numFmtId="0" fontId="8" fillId="10" borderId="99" xfId="0" quotePrefix="1" applyFont="1" applyFill="1" applyBorder="1" applyAlignment="1">
      <alignment horizontal="center" vertical="center"/>
    </xf>
    <xf numFmtId="0" fontId="8" fillId="0" borderId="99" xfId="0" quotePrefix="1" applyFont="1" applyBorder="1" applyAlignment="1">
      <alignment horizontal="center" vertical="center"/>
    </xf>
    <xf numFmtId="0" fontId="8" fillId="11" borderId="99" xfId="0" quotePrefix="1" applyFont="1" applyFill="1" applyBorder="1" applyAlignment="1">
      <alignment horizontal="center" vertical="center"/>
    </xf>
  </cellXfs>
  <cellStyles count="3">
    <cellStyle name="백분율" xfId="2" builtinId="5"/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6.emf"/><Relationship Id="rId1" Type="http://schemas.openxmlformats.org/officeDocument/2006/relationships/image" Target="../media/image5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489857</xdr:colOff>
      <xdr:row>87</xdr:row>
      <xdr:rowOff>26397</xdr:rowOff>
    </xdr:from>
    <xdr:to>
      <xdr:col>7</xdr:col>
      <xdr:colOff>1472196</xdr:colOff>
      <xdr:row>88</xdr:row>
      <xdr:rowOff>53990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1F5428DA-B0A9-49EF-AE57-47FDF249A1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9432" y="19004960"/>
          <a:ext cx="7135489" cy="241906"/>
        </a:xfrm>
        <a:prstGeom prst="rect">
          <a:avLst/>
        </a:prstGeom>
      </xdr:spPr>
    </xdr:pic>
    <xdr:clientData/>
  </xdr:twoCellAnchor>
  <xdr:oneCellAnchor>
    <xdr:from>
      <xdr:col>20</xdr:col>
      <xdr:colOff>37829</xdr:colOff>
      <xdr:row>0</xdr:row>
      <xdr:rowOff>34636</xdr:rowOff>
    </xdr:from>
    <xdr:ext cx="3604610" cy="1241247"/>
    <xdr:pic>
      <xdr:nvPicPr>
        <xdr:cNvPr id="3" name="그림 2">
          <a:extLst>
            <a:ext uri="{FF2B5EF4-FFF2-40B4-BE49-F238E27FC236}">
              <a16:creationId xmlns:a16="http://schemas.microsoft.com/office/drawing/2014/main" id="{6DD42AC5-A7AD-46DE-9612-B45C10E8AA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30942" y="34636"/>
          <a:ext cx="3604610" cy="12412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536863</xdr:colOff>
          <xdr:row>66</xdr:row>
          <xdr:rowOff>103909</xdr:rowOff>
        </xdr:from>
        <xdr:to>
          <xdr:col>23</xdr:col>
          <xdr:colOff>513051</xdr:colOff>
          <xdr:row>78</xdr:row>
          <xdr:rowOff>41996</xdr:rowOff>
        </xdr:to>
        <xdr:pic>
          <xdr:nvPicPr>
            <xdr:cNvPr id="4" name="그림 3">
              <a:extLst>
                <a:ext uri="{FF2B5EF4-FFF2-40B4-BE49-F238E27FC236}">
                  <a16:creationId xmlns:a16="http://schemas.microsoft.com/office/drawing/2014/main" id="{4F554DB8-2A66-4643-ABDC-C8E61619CF68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AU$89:AX$100" spid="_x0000_s1025"/>
                </a:ext>
              </a:extLst>
            </xdr:cNvPicPr>
          </xdr:nvPicPr>
          <xdr:blipFill>
            <a:blip xmlns:r="http://schemas.openxmlformats.org/officeDocument/2006/relationships" r:embed="rId3"/>
            <a:srcRect/>
            <a:stretch>
              <a:fillRect/>
            </a:stretch>
          </xdr:blipFill>
          <xdr:spPr bwMode="auto">
            <a:xfrm>
              <a:off x="21629976" y="14715259"/>
              <a:ext cx="4243388" cy="24288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242455</xdr:colOff>
          <xdr:row>66</xdr:row>
          <xdr:rowOff>155862</xdr:rowOff>
        </xdr:from>
        <xdr:to>
          <xdr:col>13</xdr:col>
          <xdr:colOff>313893</xdr:colOff>
          <xdr:row>78</xdr:row>
          <xdr:rowOff>93949</xdr:rowOff>
        </xdr:to>
        <xdr:pic>
          <xdr:nvPicPr>
            <xdr:cNvPr id="5" name="그림 4">
              <a:extLst>
                <a:ext uri="{FF2B5EF4-FFF2-40B4-BE49-F238E27FC236}">
                  <a16:creationId xmlns:a16="http://schemas.microsoft.com/office/drawing/2014/main" id="{1F02B602-D853-4CB5-AC05-C0BECE8CE3CC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AK$89:AN$100" spid="_x0000_s1026"/>
                </a:ext>
              </a:extLst>
            </xdr:cNvPicPr>
          </xdr:nvPicPr>
          <xdr:blipFill>
            <a:blip xmlns:r="http://schemas.openxmlformats.org/officeDocument/2006/relationships" r:embed="rId4"/>
            <a:srcRect/>
            <a:stretch>
              <a:fillRect/>
            </a:stretch>
          </xdr:blipFill>
          <xdr:spPr bwMode="auto">
            <a:xfrm>
              <a:off x="9981768" y="14767212"/>
              <a:ext cx="4243388" cy="24288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Downloads/&#50896;&#44032;&#44228;&#49328;&#49436;_0227.xlsx" TargetMode="External"/><Relationship Id="rId2" Type="http://schemas.openxmlformats.org/officeDocument/2006/relationships/externalLinkPath" Target="file:///C:\Users\navyn\Downloads\&#50896;&#44032;&#44228;&#49328;&#49436;_0227.xlsx" TargetMode="External"/><Relationship Id="rId1" Type="http://schemas.openxmlformats.org/officeDocument/2006/relationships/externalLinkPath" Target="/Users/navyn/Downloads/&#50896;&#44032;&#44228;&#49328;&#49436;_02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집계표"/>
      <sheetName val="INDEX"/>
      <sheetName val="▷99881-AABB2"/>
      <sheetName val="▷SUB) 99881-ASDQ1"/>
      <sheetName val="인서트필름 D"/>
      <sheetName val="INDEX (2)"/>
      <sheetName val="▷12597-HJBA5"/>
      <sheetName val="▷SUB) 48521-AS65A"/>
      <sheetName val="리얼알루미늄"/>
      <sheetName val="INDEX (3)"/>
      <sheetName val="도장재료비"/>
      <sheetName val="도장가공비"/>
      <sheetName val="INDEX (4)"/>
      <sheetName val="IPE지그사출비"/>
      <sheetName val="IPE CVT 증빙"/>
      <sheetName val="IPE_97480 (3)"/>
      <sheetName val="IPE_97480 (4)"/>
      <sheetName val="IPE_INDICATOR(CO)"/>
      <sheetName val="IPE 불량율 증빙"/>
      <sheetName val="INDEX (5)"/>
      <sheetName val="패드계산서 (수정)"/>
      <sheetName val="보호랩계산서 D"/>
      <sheetName val="바코드계산서"/>
      <sheetName val="(F)작동력측정지그시방서"/>
      <sheetName val="그리스(CO)"/>
      <sheetName val="도장-IPE 면적"/>
      <sheetName val="작동력지그(CO)"/>
      <sheetName val="INDEX (6)"/>
      <sheetName val="누락검사기 D GAR"/>
      <sheetName val="누락검사기 D DECO"/>
      <sheetName val="누락검사기 INDI"/>
      <sheetName val="누기검사기"/>
      <sheetName val="INDEX (7)"/>
      <sheetName val="도면 (84782)"/>
      <sheetName val="도면 (97480 90)"/>
      <sheetName val="INDEX (8)"/>
      <sheetName val="리얼 관리 비용"/>
      <sheetName val="증빙) 운반비, 포장사양, 외부임대창고"/>
      <sheetName val="25년 입고실적"/>
    </sheetNames>
    <sheetDataSet>
      <sheetData sheetId="0"/>
      <sheetData sheetId="1"/>
      <sheetData sheetId="2"/>
      <sheetData sheetId="3">
        <row r="213">
          <cell r="N213">
            <v>322.01535999999999</v>
          </cell>
          <cell r="X213">
            <v>1871.9189600000002</v>
          </cell>
        </row>
        <row r="216">
          <cell r="N216">
            <v>19264</v>
          </cell>
          <cell r="X216">
            <v>111984</v>
          </cell>
        </row>
      </sheetData>
      <sheetData sheetId="4">
        <row r="63">
          <cell r="AC63">
            <v>17162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6">
          <cell r="F6">
            <v>16.71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>
        <row r="9">
          <cell r="N9">
            <v>1774.1708153846153</v>
          </cell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4118C-A42B-45A5-9A22-791EAA0DDB44}">
  <dimension ref="A1:AX100"/>
  <sheetViews>
    <sheetView tabSelected="1" topLeftCell="B1" workbookViewId="0">
      <selection activeCell="J13" sqref="J13"/>
    </sheetView>
  </sheetViews>
  <sheetFormatPr defaultColWidth="8.5625" defaultRowHeight="15.75"/>
  <cols>
    <col min="1" max="1" width="8.5625" style="90" hidden="1" customWidth="1"/>
    <col min="2" max="2" width="5.375" style="90" customWidth="1"/>
    <col min="3" max="3" width="30.25" style="90" customWidth="1"/>
    <col min="4" max="4" width="11" style="92" customWidth="1"/>
    <col min="5" max="5" width="6.4375" style="90" customWidth="1"/>
    <col min="6" max="6" width="9.25" style="90" customWidth="1"/>
    <col min="7" max="7" width="19" style="90" customWidth="1"/>
    <col min="8" max="8" width="26.8125" style="91" customWidth="1"/>
    <col min="9" max="9" width="13.25" style="90" customWidth="1"/>
    <col min="10" max="10" width="6.4375" style="90" customWidth="1"/>
    <col min="11" max="11" width="9.25" style="90" customWidth="1"/>
    <col min="12" max="12" width="19" style="90" customWidth="1"/>
    <col min="13" max="13" width="26.5" style="91" customWidth="1"/>
    <col min="14" max="14" width="13.25" style="90" customWidth="1"/>
    <col min="15" max="15" width="6.4375" style="90" customWidth="1"/>
    <col min="16" max="16" width="9.25" style="90" customWidth="1"/>
    <col min="17" max="17" width="19" style="90" customWidth="1"/>
    <col min="18" max="18" width="26.625" style="91" customWidth="1"/>
    <col min="19" max="19" width="13.25" style="90" customWidth="1"/>
    <col min="20" max="20" width="6.4375" style="90" customWidth="1"/>
    <col min="21" max="21" width="9.25" style="90" customWidth="1"/>
    <col min="22" max="22" width="19" style="90" bestFit="1" customWidth="1"/>
    <col min="23" max="23" width="27.75" style="91" customWidth="1"/>
    <col min="24" max="26" width="13.25" style="90" customWidth="1"/>
    <col min="27" max="28" width="13" style="90" customWidth="1"/>
    <col min="29" max="29" width="18.375" style="90" customWidth="1"/>
    <col min="30" max="31" width="8.5625" style="90"/>
    <col min="32" max="32" width="30" style="234" customWidth="1"/>
    <col min="33" max="36" width="8.5625" style="90"/>
    <col min="37" max="37" width="30" style="234" customWidth="1"/>
    <col min="38" max="41" width="8.5625" style="90"/>
    <col min="42" max="42" width="30" style="234" customWidth="1"/>
    <col min="43" max="46" width="8.5625" style="90"/>
    <col min="47" max="47" width="30" style="234" customWidth="1"/>
    <col min="48" max="16384" width="8.5625" style="90"/>
  </cols>
  <sheetData>
    <row r="1" spans="1:47" s="69" customFormat="1" ht="19.899999999999999" customHeight="1">
      <c r="C1" s="70"/>
      <c r="D1" s="71"/>
      <c r="E1" s="72"/>
      <c r="F1" s="73"/>
      <c r="G1" s="73"/>
      <c r="H1" s="73"/>
      <c r="I1" s="72"/>
      <c r="J1" s="74"/>
      <c r="K1" s="75"/>
      <c r="L1" s="75"/>
      <c r="M1" s="75"/>
      <c r="N1" s="74"/>
      <c r="O1" s="74"/>
      <c r="P1" s="75"/>
      <c r="Q1" s="75"/>
      <c r="R1" s="75"/>
      <c r="S1" s="74"/>
      <c r="T1" s="74"/>
      <c r="U1" s="75"/>
      <c r="V1" s="75"/>
      <c r="W1" s="75"/>
      <c r="X1" s="74"/>
      <c r="Y1" s="74"/>
      <c r="Z1" s="74"/>
      <c r="AF1" s="76"/>
      <c r="AK1" s="76"/>
      <c r="AP1" s="76"/>
      <c r="AU1" s="76"/>
    </row>
    <row r="2" spans="1:47" s="69" customFormat="1" ht="19.899999999999999" customHeight="1">
      <c r="A2" s="77"/>
      <c r="B2" s="71"/>
      <c r="C2" s="71"/>
      <c r="D2" s="71"/>
      <c r="E2" s="72"/>
      <c r="F2" s="73"/>
      <c r="G2" s="73"/>
      <c r="H2" s="73"/>
      <c r="I2" s="72"/>
      <c r="K2" s="75"/>
      <c r="L2" s="75"/>
      <c r="M2" s="75"/>
      <c r="N2" s="74"/>
      <c r="P2" s="75"/>
      <c r="Q2" s="75"/>
      <c r="R2" s="75"/>
      <c r="S2" s="74"/>
      <c r="U2" s="75"/>
      <c r="V2" s="75"/>
      <c r="W2" s="75"/>
      <c r="X2" s="74"/>
      <c r="Y2" s="74"/>
      <c r="Z2" s="74"/>
      <c r="AF2" s="76"/>
      <c r="AK2" s="76"/>
      <c r="AP2" s="76"/>
      <c r="AU2" s="76"/>
    </row>
    <row r="3" spans="1:47" s="80" customFormat="1" ht="19.899999999999999" customHeight="1">
      <c r="A3" s="77"/>
      <c r="B3" s="71"/>
      <c r="C3" s="71"/>
      <c r="D3" s="71"/>
      <c r="E3" s="72"/>
      <c r="F3" s="73"/>
      <c r="G3" s="73"/>
      <c r="H3" s="73"/>
      <c r="I3" s="72"/>
      <c r="J3" s="74"/>
      <c r="K3" s="78"/>
      <c r="L3" s="78"/>
      <c r="M3" s="79"/>
      <c r="N3" s="78"/>
      <c r="O3" s="74"/>
      <c r="P3" s="78"/>
      <c r="Q3" s="78"/>
      <c r="R3" s="79"/>
      <c r="S3" s="78"/>
      <c r="T3" s="74"/>
      <c r="U3" s="78"/>
      <c r="V3" s="78"/>
      <c r="W3" s="79"/>
      <c r="X3" s="78"/>
      <c r="Y3" s="78"/>
      <c r="Z3" s="78"/>
      <c r="AA3" s="69"/>
      <c r="AB3" s="69"/>
      <c r="AC3" s="69"/>
      <c r="AF3" s="72"/>
      <c r="AK3" s="72"/>
      <c r="AP3" s="72"/>
      <c r="AU3" s="72"/>
    </row>
    <row r="4" spans="1:47" s="81" customFormat="1" ht="19.899999999999999" customHeight="1">
      <c r="B4" s="82" t="s">
        <v>66</v>
      </c>
      <c r="C4" s="82"/>
      <c r="D4" s="83"/>
      <c r="E4" s="84"/>
      <c r="F4" s="84"/>
      <c r="G4" s="84"/>
      <c r="H4" s="85"/>
      <c r="I4" s="84"/>
      <c r="J4" s="78"/>
      <c r="K4" s="78"/>
      <c r="L4" s="78"/>
      <c r="M4" s="79"/>
      <c r="N4" s="78"/>
      <c r="O4" s="78"/>
      <c r="P4" s="78"/>
      <c r="Q4" s="78"/>
      <c r="R4" s="79"/>
      <c r="S4" s="78"/>
      <c r="T4" s="78"/>
      <c r="U4" s="78"/>
      <c r="V4" s="78"/>
      <c r="W4" s="79"/>
      <c r="X4" s="78"/>
      <c r="Y4" s="78"/>
      <c r="Z4" s="78"/>
      <c r="AA4" s="82" t="s">
        <v>67</v>
      </c>
      <c r="AB4" s="86"/>
      <c r="AC4" s="86"/>
      <c r="AF4" s="87"/>
      <c r="AK4" s="87"/>
      <c r="AP4" s="87"/>
      <c r="AU4" s="87"/>
    </row>
    <row r="5" spans="1:47" s="81" customFormat="1" ht="19.899999999999999" customHeight="1">
      <c r="B5" s="88" t="s">
        <v>13</v>
      </c>
      <c r="C5" s="88"/>
      <c r="D5" s="89"/>
      <c r="E5" s="90"/>
      <c r="F5" s="84"/>
      <c r="G5" s="90"/>
      <c r="H5" s="91"/>
      <c r="I5" s="90"/>
      <c r="J5" s="78"/>
      <c r="K5" s="78"/>
      <c r="L5" s="78"/>
      <c r="M5" s="79"/>
      <c r="N5" s="78"/>
      <c r="O5" s="78"/>
      <c r="P5" s="78"/>
      <c r="Q5" s="78"/>
      <c r="R5" s="79"/>
      <c r="S5" s="78"/>
      <c r="T5" s="78"/>
      <c r="U5" s="78"/>
      <c r="V5" s="78"/>
      <c r="W5" s="79"/>
      <c r="X5" s="78"/>
      <c r="Y5" s="78"/>
      <c r="Z5" s="78"/>
      <c r="AA5" s="82" t="s">
        <v>68</v>
      </c>
      <c r="AB5" s="82"/>
      <c r="AC5" s="82"/>
      <c r="AF5" s="87"/>
      <c r="AK5" s="87"/>
      <c r="AP5" s="87"/>
      <c r="AU5" s="87"/>
    </row>
    <row r="6" spans="1:47" s="81" customFormat="1" ht="19.899999999999999" customHeight="1" thickBot="1">
      <c r="B6" s="82" t="s">
        <v>69</v>
      </c>
      <c r="C6" s="88"/>
      <c r="D6" s="83"/>
      <c r="E6" s="90"/>
      <c r="F6" s="84"/>
      <c r="H6" s="91"/>
      <c r="I6" s="90"/>
      <c r="J6" s="78"/>
      <c r="K6" s="84"/>
      <c r="M6" s="91"/>
      <c r="N6" s="90"/>
      <c r="O6" s="78"/>
      <c r="P6" s="84"/>
      <c r="R6" s="91"/>
      <c r="S6" s="90"/>
      <c r="T6" s="78"/>
      <c r="U6" s="84"/>
      <c r="W6" s="91"/>
      <c r="X6" s="90"/>
      <c r="Y6" s="90"/>
      <c r="Z6" s="90"/>
      <c r="AA6" s="88" t="s">
        <v>70</v>
      </c>
      <c r="AB6" s="82"/>
      <c r="AC6" s="82"/>
      <c r="AF6" s="87"/>
      <c r="AK6" s="87"/>
      <c r="AP6" s="87"/>
      <c r="AU6" s="87"/>
    </row>
    <row r="7" spans="1:47" s="81" customFormat="1" ht="19.899999999999999" customHeight="1" thickBot="1">
      <c r="B7" s="90"/>
      <c r="C7" s="90"/>
      <c r="D7" s="92"/>
      <c r="E7" s="90"/>
      <c r="F7" s="90"/>
      <c r="G7" s="93" t="s">
        <v>71</v>
      </c>
      <c r="H7" s="91"/>
      <c r="I7" s="94">
        <f>I63</f>
        <v>45334</v>
      </c>
      <c r="J7" s="90"/>
      <c r="K7" s="90"/>
      <c r="L7" s="93" t="s">
        <v>71</v>
      </c>
      <c r="M7" s="91"/>
      <c r="N7" s="94">
        <f>N63</f>
        <v>42793</v>
      </c>
      <c r="O7" s="90"/>
      <c r="P7" s="90"/>
      <c r="Q7" s="93" t="s">
        <v>72</v>
      </c>
      <c r="R7" s="91"/>
      <c r="S7" s="94">
        <f t="shared" ref="S7" si="0">S63</f>
        <v>65669</v>
      </c>
      <c r="T7" s="90"/>
      <c r="U7" s="90"/>
      <c r="V7" s="93" t="s">
        <v>72</v>
      </c>
      <c r="W7" s="91"/>
      <c r="X7" s="94">
        <f t="shared" ref="X7" si="1">X63</f>
        <v>131339</v>
      </c>
      <c r="Y7" s="94">
        <f>X7-S7</f>
        <v>65670</v>
      </c>
      <c r="Z7" s="94">
        <f>X7-N7</f>
        <v>88546</v>
      </c>
      <c r="AA7" s="95"/>
      <c r="AB7" s="96"/>
      <c r="AC7" s="96"/>
      <c r="AF7" s="87"/>
      <c r="AK7" s="87"/>
      <c r="AP7" s="87"/>
      <c r="AU7" s="87"/>
    </row>
    <row r="8" spans="1:47" s="81" customFormat="1" ht="23.25" customHeight="1">
      <c r="A8" s="97"/>
      <c r="B8" s="98" t="s">
        <v>14</v>
      </c>
      <c r="C8" s="99"/>
      <c r="D8" s="99"/>
      <c r="E8" s="100" t="s">
        <v>15</v>
      </c>
      <c r="F8" s="101"/>
      <c r="G8" s="101"/>
      <c r="H8" s="101"/>
      <c r="I8" s="102"/>
      <c r="J8" s="100" t="s">
        <v>16</v>
      </c>
      <c r="K8" s="101"/>
      <c r="L8" s="101"/>
      <c r="M8" s="101"/>
      <c r="N8" s="102"/>
      <c r="O8" s="103" t="s">
        <v>17</v>
      </c>
      <c r="P8" s="104"/>
      <c r="Q8" s="104"/>
      <c r="R8" s="104"/>
      <c r="S8" s="105"/>
      <c r="T8" s="106" t="s">
        <v>18</v>
      </c>
      <c r="U8" s="107"/>
      <c r="V8" s="107"/>
      <c r="W8" s="107"/>
      <c r="X8" s="108"/>
      <c r="Y8" s="109" t="s">
        <v>73</v>
      </c>
      <c r="Z8" s="109" t="s">
        <v>73</v>
      </c>
      <c r="AA8" s="99" t="s">
        <v>74</v>
      </c>
      <c r="AB8" s="99"/>
      <c r="AC8" s="110"/>
      <c r="AF8" s="87"/>
      <c r="AK8" s="87"/>
      <c r="AP8" s="87"/>
      <c r="AU8" s="87"/>
    </row>
    <row r="9" spans="1:47" s="81" customFormat="1" ht="23.25" customHeight="1">
      <c r="A9" s="1"/>
      <c r="B9" s="111"/>
      <c r="C9" s="112"/>
      <c r="D9" s="112"/>
      <c r="E9" s="113"/>
      <c r="F9" s="114"/>
      <c r="G9" s="114"/>
      <c r="H9" s="114"/>
      <c r="I9" s="115"/>
      <c r="J9" s="113"/>
      <c r="K9" s="114"/>
      <c r="L9" s="114"/>
      <c r="M9" s="114"/>
      <c r="N9" s="115"/>
      <c r="O9" s="116"/>
      <c r="P9" s="117"/>
      <c r="Q9" s="117"/>
      <c r="R9" s="117"/>
      <c r="S9" s="118"/>
      <c r="T9" s="119"/>
      <c r="U9" s="120"/>
      <c r="V9" s="120"/>
      <c r="W9" s="120"/>
      <c r="X9" s="121"/>
      <c r="Y9" s="122" t="s">
        <v>19</v>
      </c>
      <c r="Z9" s="122"/>
      <c r="AA9" s="112"/>
      <c r="AB9" s="112"/>
      <c r="AC9" s="123"/>
      <c r="AF9" s="87"/>
      <c r="AK9" s="87"/>
      <c r="AP9" s="87"/>
      <c r="AU9" s="87"/>
    </row>
    <row r="10" spans="1:47" s="81" customFormat="1" ht="23.25" customHeight="1" thickBot="1">
      <c r="A10" s="1"/>
      <c r="B10" s="124"/>
      <c r="C10" s="125"/>
      <c r="D10" s="125"/>
      <c r="E10" s="126"/>
      <c r="F10" s="127"/>
      <c r="G10" s="127"/>
      <c r="H10" s="127"/>
      <c r="I10" s="128"/>
      <c r="J10" s="126"/>
      <c r="K10" s="127"/>
      <c r="L10" s="127"/>
      <c r="M10" s="127"/>
      <c r="N10" s="128"/>
      <c r="O10" s="129"/>
      <c r="P10" s="130"/>
      <c r="Q10" s="130"/>
      <c r="R10" s="130"/>
      <c r="S10" s="131"/>
      <c r="T10" s="132"/>
      <c r="U10" s="133"/>
      <c r="V10" s="133"/>
      <c r="W10" s="133"/>
      <c r="X10" s="134"/>
      <c r="Y10" s="135" t="s">
        <v>75</v>
      </c>
      <c r="Z10" s="135" t="s">
        <v>76</v>
      </c>
      <c r="AA10" s="125"/>
      <c r="AB10" s="125"/>
      <c r="AC10" s="136"/>
      <c r="AF10" s="87"/>
      <c r="AK10" s="87"/>
      <c r="AP10" s="87"/>
      <c r="AU10" s="87"/>
    </row>
    <row r="11" spans="1:47" s="81" customFormat="1" ht="16.5" customHeight="1">
      <c r="A11" s="1"/>
      <c r="B11" s="12" t="s">
        <v>77</v>
      </c>
      <c r="C11" s="137"/>
      <c r="D11" s="138"/>
      <c r="E11" s="15" t="s">
        <v>78</v>
      </c>
      <c r="F11" s="16" t="s">
        <v>79</v>
      </c>
      <c r="G11" s="139" t="s">
        <v>20</v>
      </c>
      <c r="H11" s="17" t="s">
        <v>21</v>
      </c>
      <c r="I11" s="18" t="s">
        <v>6</v>
      </c>
      <c r="J11" s="15" t="s">
        <v>78</v>
      </c>
      <c r="K11" s="16" t="s">
        <v>79</v>
      </c>
      <c r="L11" s="139" t="s">
        <v>20</v>
      </c>
      <c r="M11" s="17" t="s">
        <v>21</v>
      </c>
      <c r="N11" s="18" t="s">
        <v>6</v>
      </c>
      <c r="O11" s="15" t="s">
        <v>78</v>
      </c>
      <c r="P11" s="16" t="s">
        <v>79</v>
      </c>
      <c r="Q11" s="139" t="s">
        <v>20</v>
      </c>
      <c r="R11" s="17" t="s">
        <v>21</v>
      </c>
      <c r="S11" s="18" t="s">
        <v>6</v>
      </c>
      <c r="T11" s="15" t="s">
        <v>78</v>
      </c>
      <c r="U11" s="16" t="s">
        <v>79</v>
      </c>
      <c r="V11" s="139" t="s">
        <v>20</v>
      </c>
      <c r="W11" s="17" t="s">
        <v>21</v>
      </c>
      <c r="X11" s="18" t="s">
        <v>6</v>
      </c>
      <c r="Y11" s="18" t="s">
        <v>6</v>
      </c>
      <c r="Z11" s="18" t="s">
        <v>6</v>
      </c>
      <c r="AA11" s="140"/>
      <c r="AB11" s="141"/>
      <c r="AC11" s="142"/>
      <c r="AF11" s="87"/>
      <c r="AK11" s="87"/>
      <c r="AP11" s="87"/>
      <c r="AU11" s="87"/>
    </row>
    <row r="12" spans="1:47" s="81" customFormat="1" ht="16.5" customHeight="1">
      <c r="A12" s="1"/>
      <c r="B12" s="21" t="s">
        <v>80</v>
      </c>
      <c r="C12" s="143"/>
      <c r="D12" s="60"/>
      <c r="E12" s="144"/>
      <c r="F12" s="145"/>
      <c r="G12" s="146"/>
      <c r="H12" s="147"/>
      <c r="I12" s="64"/>
      <c r="J12" s="144"/>
      <c r="K12" s="145"/>
      <c r="L12" s="146"/>
      <c r="M12" s="147"/>
      <c r="N12" s="64"/>
      <c r="O12" s="144"/>
      <c r="P12" s="145"/>
      <c r="Q12" s="146"/>
      <c r="R12" s="147"/>
      <c r="S12" s="64"/>
      <c r="T12" s="144"/>
      <c r="U12" s="145"/>
      <c r="V12" s="146"/>
      <c r="W12" s="147"/>
      <c r="X12" s="64"/>
      <c r="Y12" s="148"/>
      <c r="Z12" s="148"/>
      <c r="AA12" s="149"/>
      <c r="AB12" s="150"/>
      <c r="AC12" s="151"/>
      <c r="AF12" s="87"/>
      <c r="AK12" s="87"/>
      <c r="AP12" s="87"/>
      <c r="AU12" s="87"/>
    </row>
    <row r="13" spans="1:47" s="81" customFormat="1" ht="16.5" customHeight="1">
      <c r="A13" s="1">
        <v>1</v>
      </c>
      <c r="B13" s="21" t="s">
        <v>81</v>
      </c>
      <c r="C13" s="143" t="s">
        <v>22</v>
      </c>
      <c r="D13" s="60" t="s">
        <v>82</v>
      </c>
      <c r="E13" s="144"/>
      <c r="F13" s="152"/>
      <c r="G13" s="153"/>
      <c r="H13" s="154"/>
      <c r="I13" s="64"/>
      <c r="J13" s="144"/>
      <c r="K13" s="152"/>
      <c r="L13" s="153"/>
      <c r="M13" s="154"/>
      <c r="N13" s="64"/>
      <c r="O13" s="144"/>
      <c r="P13" s="152"/>
      <c r="Q13" s="153"/>
      <c r="R13" s="154"/>
      <c r="S13" s="64"/>
      <c r="T13" s="144"/>
      <c r="U13" s="152"/>
      <c r="V13" s="153"/>
      <c r="W13" s="154"/>
      <c r="X13" s="64"/>
      <c r="Y13" s="155"/>
      <c r="Z13" s="155"/>
      <c r="AA13" s="149"/>
      <c r="AB13" s="150"/>
      <c r="AC13" s="151"/>
      <c r="AF13" s="87"/>
      <c r="AK13" s="87"/>
      <c r="AP13" s="87"/>
      <c r="AU13" s="87"/>
    </row>
    <row r="14" spans="1:47" s="81" customFormat="1" ht="16.5" customHeight="1">
      <c r="A14" s="1"/>
      <c r="B14" s="21" t="s">
        <v>8</v>
      </c>
      <c r="C14" s="143"/>
      <c r="D14" s="60" t="s">
        <v>23</v>
      </c>
      <c r="E14" s="144"/>
      <c r="F14" s="152"/>
      <c r="G14" s="153"/>
      <c r="H14" s="154"/>
      <c r="I14" s="64"/>
      <c r="J14" s="144"/>
      <c r="K14" s="152"/>
      <c r="L14" s="153"/>
      <c r="M14" s="154"/>
      <c r="N14" s="64"/>
      <c r="O14" s="144"/>
      <c r="P14" s="152"/>
      <c r="Q14" s="153"/>
      <c r="R14" s="154"/>
      <c r="S14" s="64"/>
      <c r="T14" s="144"/>
      <c r="U14" s="152"/>
      <c r="V14" s="153"/>
      <c r="W14" s="154"/>
      <c r="X14" s="64"/>
      <c r="Y14" s="155"/>
      <c r="Z14" s="155"/>
      <c r="AA14" s="149"/>
      <c r="AB14" s="150"/>
      <c r="AC14" s="151"/>
      <c r="AF14" s="87"/>
      <c r="AK14" s="87"/>
      <c r="AP14" s="87"/>
      <c r="AU14" s="87"/>
    </row>
    <row r="15" spans="1:47" s="81" customFormat="1" ht="16.5" customHeight="1">
      <c r="A15" s="1"/>
      <c r="B15" s="21"/>
      <c r="C15" s="156" t="s">
        <v>83</v>
      </c>
      <c r="D15" s="60" t="s">
        <v>84</v>
      </c>
      <c r="E15" s="144">
        <v>2</v>
      </c>
      <c r="F15" s="157" t="s">
        <v>24</v>
      </c>
      <c r="G15" s="158">
        <v>2</v>
      </c>
      <c r="H15" s="159">
        <v>15301</v>
      </c>
      <c r="I15" s="160">
        <f>H15</f>
        <v>15301</v>
      </c>
      <c r="J15" s="144">
        <v>1</v>
      </c>
      <c r="K15" s="157" t="s">
        <v>24</v>
      </c>
      <c r="L15" s="158">
        <v>1</v>
      </c>
      <c r="M15" s="159">
        <v>18068</v>
      </c>
      <c r="N15" s="160">
        <f>M15</f>
        <v>18068</v>
      </c>
      <c r="O15" s="144">
        <v>1</v>
      </c>
      <c r="P15" s="157" t="s">
        <v>24</v>
      </c>
      <c r="Q15" s="158">
        <v>2</v>
      </c>
      <c r="R15" s="159">
        <v>20968</v>
      </c>
      <c r="S15" s="161">
        <f>R15</f>
        <v>20968</v>
      </c>
      <c r="T15" s="144">
        <v>2</v>
      </c>
      <c r="U15" s="157" t="s">
        <v>24</v>
      </c>
      <c r="V15" s="158">
        <v>1</v>
      </c>
      <c r="W15" s="159">
        <f>'[1]인서트필름 D'!AC63</f>
        <v>17162</v>
      </c>
      <c r="X15" s="161">
        <f>W15</f>
        <v>17162</v>
      </c>
      <c r="Y15" s="162">
        <f t="shared" ref="Y15:Y64" si="2">X15-S15</f>
        <v>-3806</v>
      </c>
      <c r="Z15" s="162">
        <f t="shared" ref="Z15:Z27" si="3">X15-N15</f>
        <v>-906</v>
      </c>
      <c r="AA15" s="68" t="s">
        <v>25</v>
      </c>
      <c r="AB15" s="163"/>
      <c r="AC15" s="164"/>
      <c r="AF15" s="87"/>
      <c r="AK15" s="87"/>
      <c r="AP15" s="87"/>
      <c r="AU15" s="87"/>
    </row>
    <row r="16" spans="1:47" s="81" customFormat="1" ht="16.5" customHeight="1">
      <c r="A16" s="1"/>
      <c r="B16" s="21"/>
      <c r="C16" s="22"/>
      <c r="D16" s="165"/>
      <c r="E16" s="54"/>
      <c r="F16" s="166"/>
      <c r="G16" s="167">
        <v>5.79367847442627E-3</v>
      </c>
      <c r="H16" s="168" t="s">
        <v>85</v>
      </c>
      <c r="I16" s="32"/>
      <c r="J16" s="54"/>
      <c r="K16" s="166"/>
      <c r="L16" s="167">
        <v>6.8702864170074466E-3</v>
      </c>
      <c r="M16" s="168" t="s">
        <v>85</v>
      </c>
      <c r="N16" s="32"/>
      <c r="O16" s="54"/>
      <c r="P16" s="166"/>
      <c r="Q16" s="167">
        <v>3.5718144226074222E-2</v>
      </c>
      <c r="R16" s="168" t="s">
        <v>26</v>
      </c>
      <c r="S16" s="32"/>
      <c r="T16" s="54"/>
      <c r="U16" s="166"/>
      <c r="V16" s="167">
        <v>3.0381262969970707E-2</v>
      </c>
      <c r="W16" s="168" t="s">
        <v>85</v>
      </c>
      <c r="X16" s="32"/>
      <c r="Y16" s="34"/>
      <c r="Z16" s="34"/>
      <c r="AA16" s="169"/>
      <c r="AB16" s="170"/>
      <c r="AC16" s="171"/>
      <c r="AF16" s="87"/>
      <c r="AK16" s="87"/>
      <c r="AP16" s="87"/>
      <c r="AU16" s="87"/>
    </row>
    <row r="17" spans="1:47" s="81" customFormat="1" ht="16.5" customHeight="1">
      <c r="A17" s="1">
        <v>1</v>
      </c>
      <c r="B17" s="21"/>
      <c r="C17" s="143" t="s">
        <v>27</v>
      </c>
      <c r="D17" s="172" t="s">
        <v>82</v>
      </c>
      <c r="E17" s="144">
        <v>2</v>
      </c>
      <c r="F17" s="152" t="s">
        <v>86</v>
      </c>
      <c r="G17" s="153">
        <v>9.7629158377647407</v>
      </c>
      <c r="H17" s="154">
        <v>3.7974582388401035</v>
      </c>
      <c r="I17" s="64">
        <f>ROUNDDOWN((G17*(1+G16))*H17,2)</f>
        <v>37.28</v>
      </c>
      <c r="J17" s="144">
        <v>2</v>
      </c>
      <c r="K17" s="152" t="s">
        <v>86</v>
      </c>
      <c r="L17" s="153">
        <v>8.0376635074615486</v>
      </c>
      <c r="M17" s="173">
        <v>4.2781370656013493</v>
      </c>
      <c r="N17" s="64">
        <f>ROUNDDOWN((L17*(1+L16))*M17,2)</f>
        <v>34.619999999999997</v>
      </c>
      <c r="O17" s="144">
        <v>2</v>
      </c>
      <c r="P17" s="152" t="s">
        <v>28</v>
      </c>
      <c r="Q17" s="153">
        <v>6.6533546662330627</v>
      </c>
      <c r="R17" s="173">
        <v>4.392661255645752</v>
      </c>
      <c r="S17" s="64">
        <f>ROUNDDOWN((Q17*(1+Q16))*R17,2)</f>
        <v>30.26</v>
      </c>
      <c r="T17" s="144">
        <v>1</v>
      </c>
      <c r="U17" s="152" t="s">
        <v>86</v>
      </c>
      <c r="V17" s="153">
        <v>7.446056027412415</v>
      </c>
      <c r="W17" s="173">
        <v>4.4438972846031186</v>
      </c>
      <c r="X17" s="64">
        <f>ROUNDDOWN((V17*(1+V16))*W17,2)</f>
        <v>34.090000000000003</v>
      </c>
      <c r="Y17" s="67">
        <f t="shared" si="2"/>
        <v>3.8300000000000018</v>
      </c>
      <c r="Z17" s="67">
        <f t="shared" si="3"/>
        <v>-0.52999999999999403</v>
      </c>
      <c r="AA17" s="174"/>
      <c r="AB17" s="150"/>
      <c r="AC17" s="151"/>
      <c r="AF17" s="87"/>
      <c r="AK17" s="87"/>
      <c r="AP17" s="87"/>
      <c r="AU17" s="87"/>
    </row>
    <row r="18" spans="1:47" s="81" customFormat="1" ht="16.5" customHeight="1">
      <c r="A18" s="1"/>
      <c r="B18" s="21"/>
      <c r="C18" s="175"/>
      <c r="D18" s="172" t="s">
        <v>23</v>
      </c>
      <c r="E18" s="144"/>
      <c r="F18" s="152" t="s">
        <v>86</v>
      </c>
      <c r="G18" s="153">
        <v>4</v>
      </c>
      <c r="H18" s="154">
        <v>3.259861822128296E-2</v>
      </c>
      <c r="I18" s="64">
        <f>ROUNDDOWN(G18*H18,2)</f>
        <v>0.13</v>
      </c>
      <c r="J18" s="144"/>
      <c r="K18" s="152" t="s">
        <v>86</v>
      </c>
      <c r="L18" s="153">
        <v>3</v>
      </c>
      <c r="M18" s="154">
        <v>4.0749143314361573E-2</v>
      </c>
      <c r="N18" s="64">
        <f>ROUNDDOWN(L18*M18,2)</f>
        <v>0.12</v>
      </c>
      <c r="O18" s="144"/>
      <c r="P18" s="152" t="s">
        <v>28</v>
      </c>
      <c r="Q18" s="153">
        <v>3.2030988121032711</v>
      </c>
      <c r="R18" s="154">
        <v>3.7283947277069088E-2</v>
      </c>
      <c r="S18" s="64">
        <f>ROUNDDOWN(Q18*R18,2)</f>
        <v>0.11</v>
      </c>
      <c r="T18" s="144"/>
      <c r="U18" s="152" t="s">
        <v>86</v>
      </c>
      <c r="V18" s="153">
        <f>V17*0.35</f>
        <v>2.6061196095943453</v>
      </c>
      <c r="W18" s="154">
        <v>4.299974155426025E-2</v>
      </c>
      <c r="X18" s="64">
        <f>ROUNDDOWN(V18*W18,2)</f>
        <v>0.11</v>
      </c>
      <c r="Y18" s="67">
        <f t="shared" si="2"/>
        <v>0</v>
      </c>
      <c r="Z18" s="67">
        <f t="shared" si="3"/>
        <v>-9.999999999999995E-3</v>
      </c>
      <c r="AA18" s="176"/>
      <c r="AB18" s="150"/>
      <c r="AC18" s="151"/>
      <c r="AF18" s="87"/>
      <c r="AK18" s="87"/>
      <c r="AP18" s="87"/>
      <c r="AU18" s="87"/>
    </row>
    <row r="19" spans="1:47" s="81" customFormat="1" ht="16.5" customHeight="1">
      <c r="A19" s="1"/>
      <c r="B19" s="21"/>
      <c r="C19" s="177" t="s">
        <v>29</v>
      </c>
      <c r="D19" s="178" t="s">
        <v>30</v>
      </c>
      <c r="E19" s="179">
        <v>33</v>
      </c>
      <c r="F19" s="180" t="s">
        <v>24</v>
      </c>
      <c r="G19" s="181">
        <v>1</v>
      </c>
      <c r="H19" s="182">
        <v>14.230209875106812</v>
      </c>
      <c r="I19" s="183">
        <f t="shared" ref="I19:I20" si="4">E19*H19</f>
        <v>469.59692587852481</v>
      </c>
      <c r="J19" s="179">
        <v>35</v>
      </c>
      <c r="K19" s="180" t="s">
        <v>24</v>
      </c>
      <c r="L19" s="181">
        <v>1</v>
      </c>
      <c r="M19" s="182">
        <v>13.378849868774415</v>
      </c>
      <c r="N19" s="183">
        <f t="shared" ref="N19:N20" si="5">J19*M19</f>
        <v>468.2597454071045</v>
      </c>
      <c r="O19" s="179">
        <v>13</v>
      </c>
      <c r="P19" s="180" t="s">
        <v>24</v>
      </c>
      <c r="Q19" s="181">
        <v>2</v>
      </c>
      <c r="R19" s="182">
        <v>19.493265199899675</v>
      </c>
      <c r="S19" s="183">
        <f t="shared" ref="S19" si="6">O19*R19</f>
        <v>253.41244759869576</v>
      </c>
      <c r="T19" s="179">
        <v>11</v>
      </c>
      <c r="U19" s="180" t="s">
        <v>24</v>
      </c>
      <c r="V19" s="181">
        <v>2</v>
      </c>
      <c r="W19" s="182">
        <f>'[1]패드계산서 (수정)'!F6</f>
        <v>16.71</v>
      </c>
      <c r="X19" s="183">
        <f t="shared" ref="X19" si="7">T19*W19</f>
        <v>183.81</v>
      </c>
      <c r="Y19" s="184">
        <f t="shared" si="2"/>
        <v>-69.602447598695761</v>
      </c>
      <c r="Z19" s="184">
        <f t="shared" si="3"/>
        <v>-284.4497454071045</v>
      </c>
      <c r="AA19" s="185"/>
      <c r="AB19" s="186"/>
      <c r="AC19" s="187"/>
      <c r="AF19" s="87"/>
      <c r="AK19" s="87"/>
      <c r="AP19" s="87"/>
      <c r="AU19" s="87"/>
    </row>
    <row r="20" spans="1:47" s="81" customFormat="1" ht="16.5" customHeight="1">
      <c r="A20" s="1"/>
      <c r="B20" s="21"/>
      <c r="C20" s="177" t="s">
        <v>29</v>
      </c>
      <c r="D20" s="178" t="s">
        <v>31</v>
      </c>
      <c r="E20" s="179">
        <v>1</v>
      </c>
      <c r="F20" s="180" t="s">
        <v>24</v>
      </c>
      <c r="G20" s="181">
        <v>1</v>
      </c>
      <c r="H20" s="182">
        <v>68.404734535217287</v>
      </c>
      <c r="I20" s="183">
        <f t="shared" si="4"/>
        <v>68.404734535217287</v>
      </c>
      <c r="J20" s="179">
        <v>1</v>
      </c>
      <c r="K20" s="180" t="s">
        <v>24</v>
      </c>
      <c r="L20" s="181">
        <v>1</v>
      </c>
      <c r="M20" s="182">
        <v>56.108688466548926</v>
      </c>
      <c r="N20" s="183">
        <f t="shared" si="5"/>
        <v>56.108688466548926</v>
      </c>
      <c r="O20" s="179"/>
      <c r="P20" s="180"/>
      <c r="Q20" s="181"/>
      <c r="R20" s="182"/>
      <c r="S20" s="183"/>
      <c r="T20" s="179"/>
      <c r="U20" s="180"/>
      <c r="V20" s="181"/>
      <c r="W20" s="182"/>
      <c r="X20" s="183"/>
      <c r="Y20" s="184">
        <f t="shared" si="2"/>
        <v>0</v>
      </c>
      <c r="Z20" s="184">
        <f t="shared" si="3"/>
        <v>-56.108688466548926</v>
      </c>
      <c r="AA20" s="188"/>
      <c r="AB20" s="186"/>
      <c r="AC20" s="187"/>
      <c r="AF20" s="87"/>
      <c r="AK20" s="87"/>
      <c r="AP20" s="87"/>
      <c r="AU20" s="87"/>
    </row>
    <row r="21" spans="1:47" s="81" customFormat="1" ht="16.5" customHeight="1">
      <c r="A21" s="1">
        <v>33</v>
      </c>
      <c r="B21" s="21"/>
      <c r="C21" s="189" t="s">
        <v>32</v>
      </c>
      <c r="D21" s="190"/>
      <c r="E21" s="179">
        <v>10</v>
      </c>
      <c r="F21" s="180" t="s">
        <v>24</v>
      </c>
      <c r="G21" s="181">
        <v>1</v>
      </c>
      <c r="H21" s="182">
        <v>14</v>
      </c>
      <c r="I21" s="183">
        <f>E21*H21</f>
        <v>140</v>
      </c>
      <c r="J21" s="179">
        <v>17</v>
      </c>
      <c r="K21" s="180" t="s">
        <v>24</v>
      </c>
      <c r="L21" s="181">
        <v>1</v>
      </c>
      <c r="M21" s="182">
        <v>7</v>
      </c>
      <c r="N21" s="183">
        <f>J21*M21</f>
        <v>119</v>
      </c>
      <c r="O21" s="179">
        <v>2</v>
      </c>
      <c r="P21" s="180" t="s">
        <v>24</v>
      </c>
      <c r="Q21" s="181">
        <v>1</v>
      </c>
      <c r="R21" s="182">
        <v>11</v>
      </c>
      <c r="S21" s="183">
        <f>O21*R21</f>
        <v>22</v>
      </c>
      <c r="T21" s="179">
        <v>3</v>
      </c>
      <c r="U21" s="180" t="s">
        <v>24</v>
      </c>
      <c r="V21" s="181">
        <v>1</v>
      </c>
      <c r="W21" s="182">
        <v>12</v>
      </c>
      <c r="X21" s="183">
        <f>T21*W21</f>
        <v>36</v>
      </c>
      <c r="Y21" s="184">
        <f t="shared" si="2"/>
        <v>14</v>
      </c>
      <c r="Z21" s="184">
        <f t="shared" si="3"/>
        <v>-83</v>
      </c>
      <c r="AA21" s="191"/>
      <c r="AB21" s="186"/>
      <c r="AC21" s="187"/>
      <c r="AF21" s="87"/>
      <c r="AK21" s="87"/>
      <c r="AP21" s="87"/>
      <c r="AU21" s="87"/>
    </row>
    <row r="22" spans="1:47" s="81" customFormat="1" ht="16.5" customHeight="1">
      <c r="A22" s="1"/>
      <c r="B22" s="21"/>
      <c r="C22" s="189" t="s">
        <v>33</v>
      </c>
      <c r="D22" s="190"/>
      <c r="E22" s="179">
        <v>3</v>
      </c>
      <c r="F22" s="180" t="s">
        <v>24</v>
      </c>
      <c r="G22" s="181">
        <v>2</v>
      </c>
      <c r="H22" s="182">
        <v>18</v>
      </c>
      <c r="I22" s="183">
        <f>E22*H22</f>
        <v>54</v>
      </c>
      <c r="J22" s="179">
        <v>2</v>
      </c>
      <c r="K22" s="180" t="s">
        <v>24</v>
      </c>
      <c r="L22" s="181">
        <v>2</v>
      </c>
      <c r="M22" s="182">
        <v>15</v>
      </c>
      <c r="N22" s="183">
        <f>J22*M22</f>
        <v>30</v>
      </c>
      <c r="O22" s="179">
        <v>5</v>
      </c>
      <c r="P22" s="180" t="s">
        <v>24</v>
      </c>
      <c r="Q22" s="181">
        <v>2</v>
      </c>
      <c r="R22" s="182">
        <v>19</v>
      </c>
      <c r="S22" s="183">
        <f>O22*R22</f>
        <v>95</v>
      </c>
      <c r="T22" s="179">
        <v>7</v>
      </c>
      <c r="U22" s="180" t="s">
        <v>24</v>
      </c>
      <c r="V22" s="181">
        <v>1</v>
      </c>
      <c r="W22" s="182">
        <v>20</v>
      </c>
      <c r="X22" s="183">
        <f>T22*W22</f>
        <v>140</v>
      </c>
      <c r="Y22" s="184">
        <f t="shared" si="2"/>
        <v>45</v>
      </c>
      <c r="Z22" s="184">
        <f t="shared" si="3"/>
        <v>110</v>
      </c>
      <c r="AA22" s="191"/>
      <c r="AB22" s="186"/>
      <c r="AC22" s="187"/>
      <c r="AF22" s="87"/>
      <c r="AK22" s="87"/>
      <c r="AP22" s="87"/>
      <c r="AU22" s="87"/>
    </row>
    <row r="23" spans="1:47" s="81" customFormat="1" ht="16.5" customHeight="1">
      <c r="A23" s="1"/>
      <c r="B23" s="21"/>
      <c r="C23" s="189" t="s">
        <v>34</v>
      </c>
      <c r="D23" s="190"/>
      <c r="E23" s="179">
        <v>2</v>
      </c>
      <c r="F23" s="180" t="s">
        <v>87</v>
      </c>
      <c r="G23" s="181">
        <v>2</v>
      </c>
      <c r="H23" s="182">
        <v>25838</v>
      </c>
      <c r="I23" s="183">
        <f>H23</f>
        <v>25838</v>
      </c>
      <c r="J23" s="179">
        <v>1</v>
      </c>
      <c r="K23" s="180" t="s">
        <v>87</v>
      </c>
      <c r="L23" s="181">
        <v>1</v>
      </c>
      <c r="M23" s="192">
        <f>'[1]▷SUB) 99881-ASDQ1'!N216-'[1]▷SUB) 99881-ASDQ1'!N213</f>
        <v>18941.984639999999</v>
      </c>
      <c r="N23" s="183">
        <f>M23</f>
        <v>18941.984639999999</v>
      </c>
      <c r="O23" s="179">
        <v>2</v>
      </c>
      <c r="P23" s="180" t="s">
        <v>24</v>
      </c>
      <c r="Q23" s="181">
        <v>2</v>
      </c>
      <c r="R23" s="182">
        <v>39968</v>
      </c>
      <c r="S23" s="183">
        <f>R23</f>
        <v>39968</v>
      </c>
      <c r="T23" s="179">
        <v>2</v>
      </c>
      <c r="U23" s="180" t="s">
        <v>87</v>
      </c>
      <c r="V23" s="181">
        <v>1</v>
      </c>
      <c r="W23" s="182">
        <f>'[1]▷SUB) 99881-ASDQ1'!X216-'[1]▷SUB) 99881-ASDQ1'!X213</f>
        <v>110112.08104</v>
      </c>
      <c r="X23" s="183">
        <f>W23</f>
        <v>110112.08104</v>
      </c>
      <c r="Y23" s="184">
        <f t="shared" si="2"/>
        <v>70144.081040000005</v>
      </c>
      <c r="Z23" s="184">
        <f t="shared" si="3"/>
        <v>91170.096400000009</v>
      </c>
      <c r="AA23" s="191" t="s">
        <v>35</v>
      </c>
      <c r="AB23" s="186"/>
      <c r="AC23" s="187"/>
      <c r="AF23" s="87"/>
      <c r="AK23" s="87"/>
      <c r="AP23" s="87"/>
      <c r="AU23" s="87"/>
    </row>
    <row r="24" spans="1:47" s="81" customFormat="1" ht="16.5" customHeight="1">
      <c r="A24" s="1"/>
      <c r="B24" s="21"/>
      <c r="C24" s="50" t="s">
        <v>88</v>
      </c>
      <c r="D24" s="51"/>
      <c r="E24" s="54"/>
      <c r="F24" s="193" t="s">
        <v>87</v>
      </c>
      <c r="G24" s="194">
        <v>2</v>
      </c>
      <c r="H24" s="195">
        <v>161</v>
      </c>
      <c r="I24" s="32">
        <v>106</v>
      </c>
      <c r="J24" s="54"/>
      <c r="K24" s="193" t="s">
        <v>87</v>
      </c>
      <c r="L24" s="194">
        <v>2</v>
      </c>
      <c r="M24" s="195">
        <v>114</v>
      </c>
      <c r="N24" s="32">
        <v>115</v>
      </c>
      <c r="O24" s="54"/>
      <c r="P24" s="193" t="s">
        <v>24</v>
      </c>
      <c r="Q24" s="194">
        <v>1</v>
      </c>
      <c r="R24" s="195">
        <v>72.270926836365504</v>
      </c>
      <c r="S24" s="32">
        <f>R24</f>
        <v>72.270926836365504</v>
      </c>
      <c r="T24" s="54"/>
      <c r="U24" s="193" t="s">
        <v>87</v>
      </c>
      <c r="V24" s="194">
        <v>1</v>
      </c>
      <c r="W24" s="195">
        <v>69.699388705593023</v>
      </c>
      <c r="X24" s="32">
        <f>W24</f>
        <v>69.699388705593023</v>
      </c>
      <c r="Y24" s="34">
        <f t="shared" si="2"/>
        <v>-2.5715381307724812</v>
      </c>
      <c r="Z24" s="34">
        <f t="shared" si="3"/>
        <v>-45.300611294406977</v>
      </c>
      <c r="AA24" s="196"/>
      <c r="AB24" s="186"/>
      <c r="AC24" s="187"/>
      <c r="AF24" s="87"/>
      <c r="AK24" s="87"/>
      <c r="AP24" s="87"/>
      <c r="AU24" s="87"/>
    </row>
    <row r="25" spans="1:47" s="81" customFormat="1" ht="16.5" customHeight="1">
      <c r="A25" s="1"/>
      <c r="B25" s="21"/>
      <c r="C25" s="189" t="s">
        <v>36</v>
      </c>
      <c r="D25" s="197"/>
      <c r="E25" s="179"/>
      <c r="F25" s="180"/>
      <c r="G25" s="198"/>
      <c r="H25" s="199" t="s">
        <v>36</v>
      </c>
      <c r="I25" s="183">
        <v>332.75947425842287</v>
      </c>
      <c r="J25" s="179"/>
      <c r="K25" s="180"/>
      <c r="L25" s="198"/>
      <c r="M25" s="199" t="s">
        <v>36</v>
      </c>
      <c r="N25" s="183">
        <v>363.23365527391434</v>
      </c>
      <c r="O25" s="179"/>
      <c r="P25" s="180"/>
      <c r="Q25" s="199" t="s">
        <v>36</v>
      </c>
      <c r="R25" s="199"/>
      <c r="S25" s="183">
        <v>917.47408125205334</v>
      </c>
      <c r="T25" s="179"/>
      <c r="U25" s="180"/>
      <c r="V25" s="199" t="s">
        <v>36</v>
      </c>
      <c r="W25" s="199"/>
      <c r="X25" s="183">
        <v>1093.2907166372572</v>
      </c>
      <c r="Y25" s="184">
        <f t="shared" si="2"/>
        <v>175.81663538520388</v>
      </c>
      <c r="Z25" s="184">
        <f t="shared" si="3"/>
        <v>730.05706136334288</v>
      </c>
      <c r="AA25" s="191" t="s">
        <v>37</v>
      </c>
      <c r="AB25" s="186"/>
      <c r="AC25" s="187"/>
      <c r="AF25" s="87"/>
      <c r="AK25" s="87"/>
      <c r="AP25" s="87"/>
      <c r="AU25" s="87"/>
    </row>
    <row r="26" spans="1:47" s="81" customFormat="1" ht="16.5" customHeight="1">
      <c r="A26" s="1"/>
      <c r="B26" s="21"/>
      <c r="C26" s="200"/>
      <c r="D26" s="201"/>
      <c r="E26" s="202"/>
      <c r="F26" s="203"/>
      <c r="G26" s="204"/>
      <c r="H26" s="205"/>
      <c r="I26" s="206"/>
      <c r="J26" s="202"/>
      <c r="K26" s="203"/>
      <c r="L26" s="204"/>
      <c r="M26" s="205"/>
      <c r="N26" s="206"/>
      <c r="O26" s="202"/>
      <c r="P26" s="203"/>
      <c r="Q26" s="204"/>
      <c r="R26" s="205"/>
      <c r="S26" s="206"/>
      <c r="T26" s="202"/>
      <c r="U26" s="203"/>
      <c r="V26" s="204"/>
      <c r="W26" s="205"/>
      <c r="X26" s="206"/>
      <c r="Y26" s="207"/>
      <c r="Z26" s="207"/>
      <c r="AA26" s="208"/>
      <c r="AB26" s="209"/>
      <c r="AC26" s="210"/>
      <c r="AF26" s="87"/>
      <c r="AK26" s="87"/>
      <c r="AP26" s="87"/>
      <c r="AU26" s="87"/>
    </row>
    <row r="27" spans="1:47" s="81" customFormat="1" ht="16.5" customHeight="1" thickBot="1">
      <c r="A27" s="1"/>
      <c r="B27" s="2"/>
      <c r="C27" s="211" t="s">
        <v>38</v>
      </c>
      <c r="D27" s="4" t="s">
        <v>0</v>
      </c>
      <c r="E27" s="212">
        <f>SUM(E12:E26)</f>
        <v>53</v>
      </c>
      <c r="F27" s="213"/>
      <c r="G27" s="214">
        <f>SUM(G21:G26)</f>
        <v>7</v>
      </c>
      <c r="H27" s="215"/>
      <c r="I27" s="216">
        <f>ROUNDDOWN(SUM(I12:I26),2)</f>
        <v>42347.17</v>
      </c>
      <c r="J27" s="212">
        <f>SUM(J12:J26)</f>
        <v>59</v>
      </c>
      <c r="K27" s="213"/>
      <c r="L27" s="214">
        <f>SUM(L21:L26)</f>
        <v>6</v>
      </c>
      <c r="M27" s="215"/>
      <c r="N27" s="216">
        <f>ROUNDDOWN(SUM(N12:N26),2)</f>
        <v>38196.32</v>
      </c>
      <c r="O27" s="212">
        <f>SUM(O12:O26)</f>
        <v>25</v>
      </c>
      <c r="P27" s="213"/>
      <c r="Q27" s="214">
        <f>SUM(Q21:Q26)</f>
        <v>6</v>
      </c>
      <c r="R27" s="215"/>
      <c r="S27" s="216">
        <f>ROUNDDOWN(SUM(S12:S26),2)</f>
        <v>62326.52</v>
      </c>
      <c r="T27" s="212">
        <f>SUM(T12:T26)</f>
        <v>26</v>
      </c>
      <c r="U27" s="213"/>
      <c r="V27" s="214">
        <f>SUM(V21:V26)</f>
        <v>4</v>
      </c>
      <c r="W27" s="215"/>
      <c r="X27" s="216">
        <f>ROUNDDOWN(SUM(X12:X26),2)</f>
        <v>128831.08</v>
      </c>
      <c r="Y27" s="10">
        <f t="shared" si="2"/>
        <v>66504.56</v>
      </c>
      <c r="Z27" s="10">
        <f t="shared" si="3"/>
        <v>90634.760000000009</v>
      </c>
      <c r="AA27" s="217"/>
      <c r="AB27" s="11"/>
      <c r="AC27" s="218"/>
      <c r="AF27" s="87"/>
      <c r="AK27" s="87"/>
      <c r="AP27" s="87"/>
      <c r="AU27" s="87"/>
    </row>
    <row r="28" spans="1:47" s="81" customFormat="1" ht="16.5" customHeight="1">
      <c r="A28" s="1"/>
      <c r="B28" s="12" t="s">
        <v>89</v>
      </c>
      <c r="C28" s="219"/>
      <c r="D28" s="220"/>
      <c r="E28" s="15" t="s">
        <v>2</v>
      </c>
      <c r="F28" s="16" t="s">
        <v>90</v>
      </c>
      <c r="G28" s="16" t="s">
        <v>39</v>
      </c>
      <c r="H28" s="17" t="s">
        <v>40</v>
      </c>
      <c r="I28" s="221" t="s">
        <v>91</v>
      </c>
      <c r="J28" s="15" t="s">
        <v>2</v>
      </c>
      <c r="K28" s="16" t="s">
        <v>90</v>
      </c>
      <c r="L28" s="16" t="s">
        <v>39</v>
      </c>
      <c r="M28" s="17" t="s">
        <v>40</v>
      </c>
      <c r="N28" s="221" t="s">
        <v>91</v>
      </c>
      <c r="O28" s="15" t="s">
        <v>2</v>
      </c>
      <c r="P28" s="16" t="s">
        <v>90</v>
      </c>
      <c r="Q28" s="16" t="s">
        <v>39</v>
      </c>
      <c r="R28" s="17" t="s">
        <v>40</v>
      </c>
      <c r="S28" s="221" t="s">
        <v>91</v>
      </c>
      <c r="T28" s="15" t="s">
        <v>2</v>
      </c>
      <c r="U28" s="16" t="s">
        <v>90</v>
      </c>
      <c r="V28" s="16" t="s">
        <v>39</v>
      </c>
      <c r="W28" s="17" t="s">
        <v>40</v>
      </c>
      <c r="X28" s="221" t="s">
        <v>91</v>
      </c>
      <c r="Y28" s="19"/>
      <c r="Z28" s="19"/>
      <c r="AA28" s="20"/>
      <c r="AB28" s="222"/>
      <c r="AC28" s="223"/>
      <c r="AF28" s="87"/>
      <c r="AK28" s="87"/>
      <c r="AP28" s="87"/>
      <c r="AU28" s="87"/>
    </row>
    <row r="29" spans="1:47" s="81" customFormat="1" ht="16.5" customHeight="1">
      <c r="A29" s="1"/>
      <c r="B29" s="21" t="s">
        <v>92</v>
      </c>
      <c r="C29" s="175"/>
      <c r="D29" s="92"/>
      <c r="E29" s="224">
        <v>44</v>
      </c>
      <c r="F29" s="225"/>
      <c r="G29" s="226">
        <f>10+4.396*((G17+G18)*E30)^0.1477+3.11*2.5^2*0.9*0.8-0.23</f>
        <v>30.938107644207815</v>
      </c>
      <c r="H29" s="227">
        <v>5395</v>
      </c>
      <c r="I29" s="32"/>
      <c r="J29" s="228">
        <v>69</v>
      </c>
      <c r="K29" s="225"/>
      <c r="L29" s="226">
        <f>10+4.396*((L17+L18)*J30)^0.1477+3.11*2.5^2*0.9*0.8-0.23</f>
        <v>31.456568276494583</v>
      </c>
      <c r="M29" s="227">
        <v>5998</v>
      </c>
      <c r="N29" s="32"/>
      <c r="O29" s="229">
        <v>52</v>
      </c>
      <c r="P29" s="230"/>
      <c r="Q29" s="231">
        <v>31.10248020929382</v>
      </c>
      <c r="R29" s="232">
        <v>636</v>
      </c>
      <c r="S29" s="64"/>
      <c r="T29" s="228">
        <v>90</v>
      </c>
      <c r="U29" s="230"/>
      <c r="V29" s="231">
        <f>10+4.396*((V17+V18)*T30)^0.1477+3.11*2.5^2*0.9*0.8</f>
        <v>31.835240149061462</v>
      </c>
      <c r="W29" s="232">
        <v>875</v>
      </c>
      <c r="X29" s="64"/>
      <c r="Y29" s="67"/>
      <c r="Z29" s="67"/>
      <c r="AA29" s="58"/>
      <c r="AB29" s="150"/>
      <c r="AC29" s="233"/>
      <c r="AD29" s="90"/>
      <c r="AE29" s="90"/>
      <c r="AF29" s="234"/>
      <c r="AG29" s="90"/>
      <c r="AH29" s="90"/>
      <c r="AI29" s="90"/>
      <c r="AJ29" s="90"/>
      <c r="AK29" s="234"/>
      <c r="AL29" s="90"/>
      <c r="AP29" s="87"/>
      <c r="AU29" s="87"/>
    </row>
    <row r="30" spans="1:47" s="81" customFormat="1" ht="16.5" customHeight="1">
      <c r="A30" s="1"/>
      <c r="B30" s="21" t="s">
        <v>93</v>
      </c>
      <c r="C30" s="235" t="str">
        <f>C17</f>
        <v>BRKT-GARNISH DRV SIDE</v>
      </c>
      <c r="D30" s="236"/>
      <c r="E30" s="237">
        <v>2</v>
      </c>
      <c r="F30" s="238">
        <v>0.58770903348922732</v>
      </c>
      <c r="G30" s="239">
        <f>(G29/E30)*1.1+(E29*60/H29)</f>
        <v>17.505301187632185</v>
      </c>
      <c r="H30" s="41">
        <v>47796</v>
      </c>
      <c r="I30" s="46">
        <f>ROUNDDOWN(F30*G30*H30/3600,2)</f>
        <v>136.59</v>
      </c>
      <c r="J30" s="237">
        <v>4</v>
      </c>
      <c r="K30" s="238">
        <v>0.47809429168701173</v>
      </c>
      <c r="L30" s="239">
        <f>(L29/J30)*1.1+(J29*60/M29)</f>
        <v>9.3407863527282426</v>
      </c>
      <c r="M30" s="41">
        <v>25145</v>
      </c>
      <c r="N30" s="46">
        <f>ROUNDDOWN(K30*L30*M30/3600,2)</f>
        <v>31.19</v>
      </c>
      <c r="O30" s="38">
        <v>5</v>
      </c>
      <c r="P30" s="240">
        <v>0.49192816019058228</v>
      </c>
      <c r="Q30" s="239">
        <v>25.330866182286307</v>
      </c>
      <c r="R30" s="45">
        <v>56339</v>
      </c>
      <c r="S30" s="46">
        <f>ROUNDDOWN(P30*Q30*R30/3600,2)</f>
        <v>195.01</v>
      </c>
      <c r="T30" s="38">
        <v>5</v>
      </c>
      <c r="U30" s="240">
        <v>0.4037516713142395</v>
      </c>
      <c r="V30" s="239">
        <f>V29*1.1/T30+T29*60/W29</f>
        <v>13.175181404222094</v>
      </c>
      <c r="W30" s="45">
        <v>36512</v>
      </c>
      <c r="X30" s="46">
        <f>ROUNDDOWN(U30*V30*W30/3600,2)</f>
        <v>53.95</v>
      </c>
      <c r="Y30" s="48">
        <f t="shared" si="2"/>
        <v>-141.06</v>
      </c>
      <c r="Z30" s="48">
        <f t="shared" ref="Z30:Z37" si="8">X30-N30</f>
        <v>22.76</v>
      </c>
      <c r="AA30" s="49"/>
      <c r="AB30" s="163"/>
      <c r="AC30" s="241"/>
      <c r="AD30" s="90"/>
      <c r="AE30" s="90"/>
      <c r="AF30" s="234"/>
      <c r="AG30" s="90"/>
      <c r="AH30" s="90"/>
      <c r="AI30" s="90"/>
      <c r="AJ30" s="90"/>
      <c r="AK30" s="234"/>
      <c r="AL30" s="90"/>
      <c r="AP30" s="87"/>
      <c r="AU30" s="87"/>
    </row>
    <row r="31" spans="1:47" s="81" customFormat="1" ht="16.5" customHeight="1">
      <c r="A31" s="1"/>
      <c r="B31" s="21" t="s">
        <v>8</v>
      </c>
      <c r="C31" s="143"/>
      <c r="D31" s="60"/>
      <c r="E31" s="242"/>
      <c r="F31" s="243"/>
      <c r="G31" s="231">
        <f>I80</f>
        <v>128</v>
      </c>
      <c r="H31" s="244"/>
      <c r="I31" s="64"/>
      <c r="J31" s="242"/>
      <c r="K31" s="243"/>
      <c r="L31" s="231">
        <f>N80</f>
        <v>126</v>
      </c>
      <c r="M31" s="244"/>
      <c r="N31" s="64"/>
      <c r="O31" s="242"/>
      <c r="P31" s="243"/>
      <c r="Q31" s="231">
        <v>121</v>
      </c>
      <c r="R31" s="244"/>
      <c r="S31" s="64"/>
      <c r="T31" s="242"/>
      <c r="U31" s="243"/>
      <c r="V31" s="231">
        <f>X80</f>
        <v>80</v>
      </c>
      <c r="W31" s="244"/>
      <c r="X31" s="64"/>
      <c r="Y31" s="67"/>
      <c r="Z31" s="67"/>
      <c r="AA31" s="245"/>
      <c r="AB31" s="170"/>
      <c r="AC31" s="246"/>
      <c r="AF31" s="87"/>
      <c r="AK31" s="87"/>
      <c r="AP31" s="87"/>
      <c r="AU31" s="87"/>
    </row>
    <row r="32" spans="1:47" s="81" customFormat="1" ht="16.5" customHeight="1">
      <c r="A32" s="1"/>
      <c r="B32" s="21"/>
      <c r="C32" s="247" t="s">
        <v>41</v>
      </c>
      <c r="D32" s="248"/>
      <c r="E32" s="249">
        <v>1</v>
      </c>
      <c r="F32" s="240">
        <v>1</v>
      </c>
      <c r="G32" s="40">
        <f>ROUNDDOWN((G31/E32)*1.1,2)</f>
        <v>140.80000000000001</v>
      </c>
      <c r="H32" s="41">
        <v>26009</v>
      </c>
      <c r="I32" s="46">
        <f>ROUNDDOWN(F32*G32*H32/3600,2)</f>
        <v>1017.24</v>
      </c>
      <c r="J32" s="249">
        <v>1</v>
      </c>
      <c r="K32" s="240">
        <v>2</v>
      </c>
      <c r="L32" s="40">
        <f>ROUNDDOWN((L31/J32)*1.1,2)</f>
        <v>138.6</v>
      </c>
      <c r="M32" s="41">
        <v>47902</v>
      </c>
      <c r="N32" s="46">
        <f>ROUNDDOWN(K32*L32*M32/3600,2)</f>
        <v>3688.45</v>
      </c>
      <c r="O32" s="249">
        <v>2</v>
      </c>
      <c r="P32" s="240">
        <v>2</v>
      </c>
      <c r="Q32" s="40">
        <v>97.099515790939336</v>
      </c>
      <c r="R32" s="41">
        <v>35564</v>
      </c>
      <c r="S32" s="46">
        <f>ROUNDDOWN(P32*Q32*R32/3600,2)</f>
        <v>1918.47</v>
      </c>
      <c r="T32" s="249">
        <v>2</v>
      </c>
      <c r="U32" s="240">
        <v>1</v>
      </c>
      <c r="V32" s="40">
        <f>ROUNDDOWN((V31/T32)*1.1,2)</f>
        <v>44</v>
      </c>
      <c r="W32" s="41">
        <v>44050</v>
      </c>
      <c r="X32" s="46">
        <f>ROUNDDOWN(U32*V32*W32/3600,2)</f>
        <v>538.38</v>
      </c>
      <c r="Y32" s="48">
        <f t="shared" si="2"/>
        <v>-1380.0900000000001</v>
      </c>
      <c r="Z32" s="48">
        <f t="shared" si="8"/>
        <v>-3150.0699999999997</v>
      </c>
      <c r="AA32" s="250" t="s">
        <v>42</v>
      </c>
      <c r="AB32" s="163"/>
      <c r="AC32" s="241"/>
      <c r="AF32" s="87"/>
      <c r="AK32" s="87"/>
      <c r="AP32" s="87"/>
      <c r="AU32" s="87"/>
    </row>
    <row r="33" spans="1:47" s="81" customFormat="1" ht="16.5" customHeight="1">
      <c r="A33" s="1"/>
      <c r="B33" s="21"/>
      <c r="C33" s="251"/>
      <c r="D33" s="252"/>
      <c r="E33" s="253"/>
      <c r="F33" s="254"/>
      <c r="G33" s="255">
        <v>12</v>
      </c>
      <c r="H33" s="244"/>
      <c r="I33" s="64"/>
      <c r="J33" s="253"/>
      <c r="K33" s="254"/>
      <c r="L33" s="255">
        <v>36</v>
      </c>
      <c r="M33" s="244"/>
      <c r="N33" s="64"/>
      <c r="O33" s="253"/>
      <c r="P33" s="254"/>
      <c r="Q33" s="255">
        <v>42</v>
      </c>
      <c r="R33" s="244"/>
      <c r="S33" s="64"/>
      <c r="T33" s="253"/>
      <c r="U33" s="254"/>
      <c r="V33" s="255">
        <v>20</v>
      </c>
      <c r="W33" s="244"/>
      <c r="X33" s="64"/>
      <c r="Y33" s="67"/>
      <c r="Z33" s="67"/>
      <c r="AA33" s="35"/>
      <c r="AB33" s="170"/>
      <c r="AC33" s="246"/>
      <c r="AF33" s="87"/>
      <c r="AK33" s="87"/>
      <c r="AP33" s="87"/>
      <c r="AU33" s="87"/>
    </row>
    <row r="34" spans="1:47" s="81" customFormat="1" ht="16.5" customHeight="1">
      <c r="A34" s="1"/>
      <c r="B34" s="21"/>
      <c r="C34" s="59" t="s">
        <v>11</v>
      </c>
      <c r="D34" s="256"/>
      <c r="E34" s="249">
        <v>1</v>
      </c>
      <c r="F34" s="240">
        <v>2</v>
      </c>
      <c r="G34" s="40">
        <f>ROUNDDOWN((G33/E34)*1.1,2)</f>
        <v>13.2</v>
      </c>
      <c r="H34" s="41">
        <v>37336</v>
      </c>
      <c r="I34" s="46">
        <f>ROUNDDOWN(F34*G34*H34/3600,2)</f>
        <v>273.79000000000002</v>
      </c>
      <c r="J34" s="249">
        <v>1</v>
      </c>
      <c r="K34" s="240">
        <v>1</v>
      </c>
      <c r="L34" s="40">
        <f>ROUNDDOWN((L33/J34)*1.1,2)</f>
        <v>39.6</v>
      </c>
      <c r="M34" s="41">
        <v>29295</v>
      </c>
      <c r="N34" s="46">
        <f>ROUNDDOWN(K34*L34*M34/3600,2)</f>
        <v>322.24</v>
      </c>
      <c r="O34" s="249">
        <v>1</v>
      </c>
      <c r="P34" s="240">
        <v>1</v>
      </c>
      <c r="Q34" s="40">
        <v>17.092630827426913</v>
      </c>
      <c r="R34" s="41">
        <v>34431</v>
      </c>
      <c r="S34" s="46">
        <f>ROUNDDOWN(P34*Q34*R34/3600,2)</f>
        <v>163.47</v>
      </c>
      <c r="T34" s="249">
        <v>2</v>
      </c>
      <c r="U34" s="240">
        <v>1</v>
      </c>
      <c r="V34" s="40">
        <f>ROUNDDOWN((V33/T34)*1.1,2)</f>
        <v>11</v>
      </c>
      <c r="W34" s="41">
        <v>48514</v>
      </c>
      <c r="X34" s="46">
        <f>ROUNDDOWN(U34*V34*W34/3600,2)</f>
        <v>148.22999999999999</v>
      </c>
      <c r="Y34" s="48">
        <f t="shared" si="2"/>
        <v>-15.240000000000009</v>
      </c>
      <c r="Z34" s="48">
        <f t="shared" si="8"/>
        <v>-174.01000000000002</v>
      </c>
      <c r="AA34" s="68"/>
      <c r="AB34" s="163"/>
      <c r="AC34" s="241"/>
      <c r="AF34" s="87"/>
      <c r="AK34" s="87"/>
      <c r="AP34" s="87"/>
      <c r="AU34" s="87"/>
    </row>
    <row r="35" spans="1:47" s="81" customFormat="1" ht="16.5" customHeight="1">
      <c r="A35" s="1"/>
      <c r="B35" s="21"/>
      <c r="C35" s="143"/>
      <c r="D35" s="60"/>
      <c r="E35" s="144"/>
      <c r="F35" s="152"/>
      <c r="G35" s="257"/>
      <c r="H35" s="258"/>
      <c r="I35" s="64"/>
      <c r="J35" s="144"/>
      <c r="K35" s="152"/>
      <c r="L35" s="257"/>
      <c r="M35" s="258"/>
      <c r="N35" s="64"/>
      <c r="O35" s="144"/>
      <c r="P35" s="152"/>
      <c r="Q35" s="257"/>
      <c r="R35" s="258"/>
      <c r="S35" s="64"/>
      <c r="T35" s="144"/>
      <c r="U35" s="152"/>
      <c r="V35" s="257"/>
      <c r="W35" s="258"/>
      <c r="X35" s="64"/>
      <c r="Y35" s="67"/>
      <c r="Z35" s="67"/>
      <c r="AA35" s="149"/>
      <c r="AB35" s="150"/>
      <c r="AC35" s="233"/>
      <c r="AF35" s="87"/>
      <c r="AK35" s="87"/>
      <c r="AP35" s="87"/>
      <c r="AU35" s="87"/>
    </row>
    <row r="36" spans="1:47" s="81" customFormat="1" ht="16.5" customHeight="1">
      <c r="A36" s="1"/>
      <c r="B36" s="21"/>
      <c r="C36" s="200"/>
      <c r="D36" s="259"/>
      <c r="E36" s="144"/>
      <c r="F36" s="152"/>
      <c r="G36" s="62"/>
      <c r="H36" s="63"/>
      <c r="I36" s="64"/>
      <c r="J36" s="144"/>
      <c r="K36" s="152"/>
      <c r="L36" s="62"/>
      <c r="M36" s="63"/>
      <c r="N36" s="64"/>
      <c r="O36" s="144"/>
      <c r="P36" s="152"/>
      <c r="Q36" s="62"/>
      <c r="R36" s="63"/>
      <c r="S36" s="64"/>
      <c r="T36" s="144"/>
      <c r="U36" s="152"/>
      <c r="V36" s="62"/>
      <c r="W36" s="63"/>
      <c r="X36" s="64"/>
      <c r="Y36" s="207"/>
      <c r="Z36" s="207"/>
      <c r="AA36" s="260"/>
      <c r="AB36" s="209"/>
      <c r="AC36" s="261"/>
      <c r="AF36" s="87"/>
      <c r="AK36" s="87"/>
      <c r="AP36" s="87"/>
      <c r="AU36" s="87"/>
    </row>
    <row r="37" spans="1:47" s="81" customFormat="1" ht="16.5" customHeight="1" thickBot="1">
      <c r="A37" s="1"/>
      <c r="B37" s="2"/>
      <c r="C37" s="3"/>
      <c r="D37" s="4" t="s">
        <v>0</v>
      </c>
      <c r="E37" s="5"/>
      <c r="F37" s="6"/>
      <c r="G37" s="7"/>
      <c r="H37" s="8"/>
      <c r="I37" s="9">
        <f>ROUNDDOWN(SUM(I29:I36),2)</f>
        <v>1427.62</v>
      </c>
      <c r="J37" s="5"/>
      <c r="K37" s="6"/>
      <c r="L37" s="7"/>
      <c r="M37" s="8"/>
      <c r="N37" s="9">
        <f>ROUNDDOWN(SUM(N29:N36),2)</f>
        <v>4041.88</v>
      </c>
      <c r="O37" s="5"/>
      <c r="P37" s="6"/>
      <c r="Q37" s="7"/>
      <c r="R37" s="8"/>
      <c r="S37" s="9">
        <f>ROUNDDOWN(SUM(S29:S36),2)</f>
        <v>2276.9499999999998</v>
      </c>
      <c r="T37" s="5"/>
      <c r="U37" s="6"/>
      <c r="V37" s="7"/>
      <c r="W37" s="8"/>
      <c r="X37" s="9">
        <f>ROUNDDOWN(SUM(X29:X36),2)</f>
        <v>740.56</v>
      </c>
      <c r="Y37" s="10">
        <f t="shared" si="2"/>
        <v>-1536.3899999999999</v>
      </c>
      <c r="Z37" s="10">
        <f t="shared" si="8"/>
        <v>-3301.32</v>
      </c>
      <c r="AA37" s="11"/>
      <c r="AB37" s="11"/>
      <c r="AC37" s="218"/>
      <c r="AF37" s="87"/>
      <c r="AK37" s="87"/>
      <c r="AP37" s="87"/>
      <c r="AU37" s="87"/>
    </row>
    <row r="38" spans="1:47" s="81" customFormat="1" ht="16.5" customHeight="1">
      <c r="A38" s="1"/>
      <c r="B38" s="12" t="s">
        <v>1</v>
      </c>
      <c r="C38" s="13"/>
      <c r="D38" s="14"/>
      <c r="E38" s="15" t="s">
        <v>2</v>
      </c>
      <c r="F38" s="16" t="s">
        <v>3</v>
      </c>
      <c r="G38" s="16" t="s">
        <v>4</v>
      </c>
      <c r="H38" s="17" t="s">
        <v>5</v>
      </c>
      <c r="I38" s="18" t="s">
        <v>6</v>
      </c>
      <c r="J38" s="15" t="s">
        <v>2</v>
      </c>
      <c r="K38" s="16" t="s">
        <v>3</v>
      </c>
      <c r="L38" s="16" t="s">
        <v>4</v>
      </c>
      <c r="M38" s="17" t="s">
        <v>5</v>
      </c>
      <c r="N38" s="18" t="s">
        <v>6</v>
      </c>
      <c r="O38" s="15" t="s">
        <v>2</v>
      </c>
      <c r="P38" s="16" t="s">
        <v>3</v>
      </c>
      <c r="Q38" s="16" t="s">
        <v>4</v>
      </c>
      <c r="R38" s="17" t="s">
        <v>5</v>
      </c>
      <c r="S38" s="18" t="s">
        <v>6</v>
      </c>
      <c r="T38" s="15" t="s">
        <v>2</v>
      </c>
      <c r="U38" s="16" t="s">
        <v>3</v>
      </c>
      <c r="V38" s="16" t="s">
        <v>4</v>
      </c>
      <c r="W38" s="17" t="s">
        <v>5</v>
      </c>
      <c r="X38" s="18" t="s">
        <v>6</v>
      </c>
      <c r="Y38" s="19"/>
      <c r="Z38" s="19"/>
      <c r="AA38" s="20"/>
      <c r="AB38" s="222"/>
      <c r="AC38" s="262"/>
      <c r="AF38" s="87"/>
      <c r="AK38" s="87"/>
      <c r="AP38" s="87"/>
      <c r="AU38" s="87"/>
    </row>
    <row r="39" spans="1:47" s="81" customFormat="1" ht="16.5" customHeight="1">
      <c r="A39" s="1"/>
      <c r="B39" s="21" t="s">
        <v>7</v>
      </c>
      <c r="C39" s="22"/>
      <c r="D39" s="23"/>
      <c r="E39" s="24"/>
      <c r="F39" s="25"/>
      <c r="G39" s="26"/>
      <c r="H39" s="27">
        <v>0.5455072402954102</v>
      </c>
      <c r="I39" s="28"/>
      <c r="J39" s="29"/>
      <c r="K39" s="25"/>
      <c r="L39" s="26"/>
      <c r="M39" s="27">
        <v>0.68941124439239498</v>
      </c>
      <c r="N39" s="28"/>
      <c r="O39" s="24"/>
      <c r="P39" s="30"/>
      <c r="Q39" s="26"/>
      <c r="R39" s="31">
        <v>0.7041760559082032</v>
      </c>
      <c r="S39" s="32"/>
      <c r="T39" s="29"/>
      <c r="U39" s="33"/>
      <c r="V39" s="26"/>
      <c r="W39" s="31">
        <v>0.58187324523925787</v>
      </c>
      <c r="X39" s="32"/>
      <c r="Y39" s="34"/>
      <c r="Z39" s="34"/>
      <c r="AA39" s="35"/>
      <c r="AB39" s="170"/>
      <c r="AC39" s="171"/>
      <c r="AD39" s="90"/>
      <c r="AE39" s="90"/>
      <c r="AF39" s="234"/>
      <c r="AG39" s="90"/>
      <c r="AH39" s="90"/>
      <c r="AI39" s="90"/>
      <c r="AJ39" s="90"/>
      <c r="AK39" s="234"/>
      <c r="AL39" s="90"/>
      <c r="AP39" s="87"/>
      <c r="AU39" s="87"/>
    </row>
    <row r="40" spans="1:47" s="81" customFormat="1" ht="16.5" customHeight="1">
      <c r="A40" s="1">
        <v>2</v>
      </c>
      <c r="B40" s="21" t="s">
        <v>8</v>
      </c>
      <c r="C40" s="36" t="s">
        <v>9</v>
      </c>
      <c r="D40" s="37"/>
      <c r="E40" s="38">
        <v>4</v>
      </c>
      <c r="F40" s="39">
        <v>75</v>
      </c>
      <c r="G40" s="40">
        <f>G30</f>
        <v>17.505301187632185</v>
      </c>
      <c r="H40" s="41">
        <v>1820</v>
      </c>
      <c r="I40" s="42">
        <f>ROUNDDOWN((G40*H40/3600*(1+H39)),2)</f>
        <v>13.67</v>
      </c>
      <c r="J40" s="43">
        <v>2</v>
      </c>
      <c r="K40" s="39">
        <v>82</v>
      </c>
      <c r="L40" s="40">
        <f>L30</f>
        <v>9.3407863527282426</v>
      </c>
      <c r="M40" s="41">
        <v>3981</v>
      </c>
      <c r="N40" s="42">
        <f>ROUNDDOWN((L40*M40/3600*(1+M39)),2)</f>
        <v>17.45</v>
      </c>
      <c r="O40" s="38">
        <v>3</v>
      </c>
      <c r="P40" s="44">
        <v>73</v>
      </c>
      <c r="Q40" s="40">
        <f>Q30</f>
        <v>25.330866182286307</v>
      </c>
      <c r="R40" s="45">
        <v>3941</v>
      </c>
      <c r="S40" s="46">
        <f>ROUNDDOWN(Q40*R40*1.64/3600,2)</f>
        <v>45.47</v>
      </c>
      <c r="T40" s="43">
        <v>3</v>
      </c>
      <c r="U40" s="47">
        <v>84</v>
      </c>
      <c r="V40" s="40">
        <f>V30</f>
        <v>13.175181404222094</v>
      </c>
      <c r="W40" s="45">
        <v>2190</v>
      </c>
      <c r="X40" s="46">
        <f>ROUNDDOWN(V40*W40*1.64/3600,2)</f>
        <v>13.14</v>
      </c>
      <c r="Y40" s="48">
        <f t="shared" si="2"/>
        <v>-32.33</v>
      </c>
      <c r="Z40" s="48">
        <f t="shared" ref="Z40:Z64" si="9">X40-N40</f>
        <v>-4.3099999999999987</v>
      </c>
      <c r="AA40" s="49"/>
      <c r="AB40" s="163"/>
      <c r="AC40" s="164"/>
      <c r="AD40" s="90"/>
      <c r="AE40" s="90"/>
      <c r="AF40" s="234"/>
      <c r="AG40" s="90"/>
      <c r="AH40" s="90"/>
      <c r="AI40" s="90"/>
      <c r="AJ40" s="90"/>
      <c r="AK40" s="234"/>
      <c r="AL40" s="90"/>
      <c r="AP40" s="87"/>
      <c r="AU40" s="87"/>
    </row>
    <row r="41" spans="1:47" s="81" customFormat="1" ht="16.5" customHeight="1">
      <c r="A41" s="1"/>
      <c r="B41" s="21"/>
      <c r="C41" s="50"/>
      <c r="D41" s="51"/>
      <c r="E41" s="24"/>
      <c r="F41" s="52" t="s">
        <v>10</v>
      </c>
      <c r="G41" s="26">
        <f>G34</f>
        <v>13.2</v>
      </c>
      <c r="H41" s="53">
        <v>502.97884615384618</v>
      </c>
      <c r="I41" s="32">
        <f>ROUNDDOWN(G41*H41*1.6/3600,2)</f>
        <v>2.95</v>
      </c>
      <c r="J41" s="54"/>
      <c r="K41" s="52" t="s">
        <v>10</v>
      </c>
      <c r="L41" s="26">
        <f>L34</f>
        <v>39.6</v>
      </c>
      <c r="M41" s="53">
        <v>502.97884615384618</v>
      </c>
      <c r="N41" s="32">
        <f>ROUNDDOWN(L41*M41*1.6/3600,2)</f>
        <v>8.85</v>
      </c>
      <c r="O41" s="24"/>
      <c r="P41" s="52" t="s">
        <v>10</v>
      </c>
      <c r="Q41" s="26">
        <f>Q34</f>
        <v>17.092630827426913</v>
      </c>
      <c r="R41" s="53">
        <v>1290.6323538461538</v>
      </c>
      <c r="S41" s="55">
        <f>ROUNDDOWN(Q41*R41*1.6/3600,2)</f>
        <v>9.8000000000000007</v>
      </c>
      <c r="T41" s="54"/>
      <c r="U41" s="56" t="s">
        <v>10</v>
      </c>
      <c r="V41" s="26">
        <f>V34</f>
        <v>11</v>
      </c>
      <c r="W41" s="53">
        <f>'[1]누락검사기 D GAR'!N9</f>
        <v>1774.1708153846153</v>
      </c>
      <c r="X41" s="55">
        <f>ROUNDDOWN(V41*W41*1.64/3600,2)</f>
        <v>8.89</v>
      </c>
      <c r="Y41" s="57">
        <f t="shared" si="2"/>
        <v>-0.91000000000000014</v>
      </c>
      <c r="Z41" s="57">
        <f t="shared" si="9"/>
        <v>4.0000000000000924E-2</v>
      </c>
      <c r="AA41" s="58"/>
      <c r="AB41" s="150"/>
      <c r="AC41" s="151"/>
      <c r="AF41" s="87"/>
      <c r="AK41" s="87"/>
      <c r="AP41" s="87"/>
      <c r="AU41" s="87"/>
    </row>
    <row r="42" spans="1:47" s="81" customFormat="1" ht="16.5" customHeight="1">
      <c r="A42" s="1">
        <v>3</v>
      </c>
      <c r="B42" s="21"/>
      <c r="C42" s="59" t="s">
        <v>11</v>
      </c>
      <c r="D42" s="60"/>
      <c r="E42" s="61"/>
      <c r="F42" s="39"/>
      <c r="G42" s="62"/>
      <c r="H42" s="63"/>
      <c r="I42" s="64"/>
      <c r="J42" s="65"/>
      <c r="K42" s="39"/>
      <c r="L42" s="62"/>
      <c r="M42" s="63"/>
      <c r="N42" s="64"/>
      <c r="O42" s="61"/>
      <c r="P42" s="39"/>
      <c r="Q42" s="62"/>
      <c r="R42" s="63"/>
      <c r="S42" s="64"/>
      <c r="T42" s="65"/>
      <c r="U42" s="66"/>
      <c r="V42" s="62"/>
      <c r="W42" s="63"/>
      <c r="X42" s="64"/>
      <c r="Y42" s="67"/>
      <c r="Z42" s="67"/>
      <c r="AA42" s="68" t="s">
        <v>12</v>
      </c>
      <c r="AB42" s="150"/>
      <c r="AC42" s="151"/>
      <c r="AF42" s="87"/>
      <c r="AK42" s="87"/>
      <c r="AP42" s="87"/>
      <c r="AU42" s="87"/>
    </row>
    <row r="43" spans="1:47" s="81" customFormat="1" ht="16.5" customHeight="1">
      <c r="A43" s="1"/>
      <c r="B43" s="21"/>
      <c r="C43" s="50"/>
      <c r="D43" s="51"/>
      <c r="E43" s="253"/>
      <c r="F43" s="254"/>
      <c r="G43" s="255"/>
      <c r="H43" s="53"/>
      <c r="I43" s="32"/>
      <c r="J43" s="263"/>
      <c r="K43" s="254"/>
      <c r="L43" s="255"/>
      <c r="M43" s="53"/>
      <c r="N43" s="32"/>
      <c r="O43" s="253"/>
      <c r="P43" s="254"/>
      <c r="Q43" s="255"/>
      <c r="R43" s="53"/>
      <c r="S43" s="32"/>
      <c r="T43" s="263"/>
      <c r="U43" s="264"/>
      <c r="V43" s="255"/>
      <c r="W43" s="53"/>
      <c r="X43" s="32"/>
      <c r="Y43" s="34"/>
      <c r="Z43" s="34"/>
      <c r="AA43" s="265"/>
      <c r="AB43" s="170"/>
      <c r="AC43" s="246"/>
      <c r="AF43" s="87"/>
      <c r="AK43" s="87"/>
      <c r="AP43" s="87"/>
      <c r="AU43" s="87"/>
    </row>
    <row r="44" spans="1:47" s="81" customFormat="1" ht="16.5" customHeight="1">
      <c r="A44" s="1"/>
      <c r="B44" s="21"/>
      <c r="C44" s="266"/>
      <c r="D44" s="267"/>
      <c r="E44" s="268"/>
      <c r="F44" s="269"/>
      <c r="G44" s="270"/>
      <c r="H44" s="271"/>
      <c r="I44" s="206"/>
      <c r="J44" s="272"/>
      <c r="K44" s="269"/>
      <c r="L44" s="270"/>
      <c r="M44" s="271"/>
      <c r="N44" s="206"/>
      <c r="O44" s="268"/>
      <c r="P44" s="269"/>
      <c r="Q44" s="270"/>
      <c r="R44" s="271"/>
      <c r="S44" s="206"/>
      <c r="T44" s="272"/>
      <c r="U44" s="273"/>
      <c r="V44" s="270"/>
      <c r="W44" s="271"/>
      <c r="X44" s="206"/>
      <c r="Y44" s="207"/>
      <c r="Z44" s="207"/>
      <c r="AA44" s="274"/>
      <c r="AB44" s="209"/>
      <c r="AC44" s="261"/>
      <c r="AF44" s="87"/>
      <c r="AK44" s="87"/>
      <c r="AP44" s="87"/>
      <c r="AU44" s="87"/>
    </row>
    <row r="45" spans="1:47" s="81" customFormat="1" ht="16.5" customHeight="1">
      <c r="A45" s="1"/>
      <c r="B45" s="275"/>
      <c r="C45" s="276"/>
      <c r="D45" s="259" t="s">
        <v>0</v>
      </c>
      <c r="E45" s="268"/>
      <c r="F45" s="277"/>
      <c r="G45" s="278"/>
      <c r="H45" s="279"/>
      <c r="I45" s="206">
        <f>ROUNDDOWN(SUM(I39:I44),2)</f>
        <v>16.62</v>
      </c>
      <c r="J45" s="268"/>
      <c r="K45" s="277"/>
      <c r="L45" s="278"/>
      <c r="M45" s="279"/>
      <c r="N45" s="206">
        <f>ROUNDDOWN(SUM(N39:N44),2)</f>
        <v>26.3</v>
      </c>
      <c r="O45" s="268"/>
      <c r="P45" s="277"/>
      <c r="Q45" s="278"/>
      <c r="R45" s="279"/>
      <c r="S45" s="206">
        <f>ROUNDDOWN(SUM(S39:S44),2)</f>
        <v>55.27</v>
      </c>
      <c r="T45" s="268"/>
      <c r="U45" s="277"/>
      <c r="V45" s="278"/>
      <c r="W45" s="279"/>
      <c r="X45" s="206">
        <f>ROUNDDOWN(SUM(X39:X44),2)</f>
        <v>22.03</v>
      </c>
      <c r="Y45" s="207">
        <f t="shared" si="2"/>
        <v>-33.24</v>
      </c>
      <c r="Z45" s="207">
        <f t="shared" si="9"/>
        <v>-4.2699999999999996</v>
      </c>
      <c r="AA45" s="209"/>
      <c r="AB45" s="209"/>
      <c r="AC45" s="210"/>
      <c r="AF45" s="87"/>
      <c r="AK45" s="87"/>
      <c r="AP45" s="87"/>
      <c r="AU45" s="87"/>
    </row>
    <row r="46" spans="1:47" s="81" customFormat="1" ht="16.5" customHeight="1" thickBot="1">
      <c r="A46" s="1"/>
      <c r="B46" s="280" t="s">
        <v>43</v>
      </c>
      <c r="C46" s="281" t="s">
        <v>44</v>
      </c>
      <c r="D46" s="4"/>
      <c r="E46" s="282" t="s">
        <v>94</v>
      </c>
      <c r="F46" s="283" t="s">
        <v>94</v>
      </c>
      <c r="G46" s="284" t="s">
        <v>45</v>
      </c>
      <c r="H46" s="285"/>
      <c r="I46" s="216">
        <f>ROUNDDOWN(I37+I45,2)</f>
        <v>1444.24</v>
      </c>
      <c r="J46" s="282" t="s">
        <v>94</v>
      </c>
      <c r="K46" s="283" t="s">
        <v>94</v>
      </c>
      <c r="L46" s="284" t="s">
        <v>45</v>
      </c>
      <c r="M46" s="285"/>
      <c r="N46" s="216">
        <f>ROUNDDOWN(N37+N45,2)</f>
        <v>4068.18</v>
      </c>
      <c r="O46" s="282" t="s">
        <v>94</v>
      </c>
      <c r="P46" s="283" t="s">
        <v>94</v>
      </c>
      <c r="Q46" s="284" t="s">
        <v>45</v>
      </c>
      <c r="R46" s="285"/>
      <c r="S46" s="216">
        <f>ROUNDDOWN(S37+S45,2)</f>
        <v>2332.2199999999998</v>
      </c>
      <c r="T46" s="282" t="s">
        <v>94</v>
      </c>
      <c r="U46" s="283" t="s">
        <v>94</v>
      </c>
      <c r="V46" s="284" t="s">
        <v>45</v>
      </c>
      <c r="W46" s="285"/>
      <c r="X46" s="216">
        <f>ROUNDDOWN(X37+X45,2)</f>
        <v>762.59</v>
      </c>
      <c r="Y46" s="10">
        <f t="shared" si="2"/>
        <v>-1569.6299999999997</v>
      </c>
      <c r="Z46" s="10">
        <f t="shared" si="9"/>
        <v>-3305.5899999999997</v>
      </c>
      <c r="AA46" s="286"/>
      <c r="AB46" s="11"/>
      <c r="AC46" s="218"/>
      <c r="AF46" s="87"/>
      <c r="AK46" s="87"/>
      <c r="AP46" s="87"/>
      <c r="AU46" s="87"/>
    </row>
    <row r="47" spans="1:47" s="81" customFormat="1" ht="16.5" customHeight="1">
      <c r="A47" s="1"/>
      <c r="B47" s="287" t="s">
        <v>46</v>
      </c>
      <c r="C47" s="288" t="s">
        <v>47</v>
      </c>
      <c r="D47" s="289"/>
      <c r="E47" s="290"/>
      <c r="F47" s="141"/>
      <c r="G47" s="141" t="s">
        <v>48</v>
      </c>
      <c r="H47" s="291"/>
      <c r="I47" s="292">
        <f>ROUNDDOWN(I46+I27,2)</f>
        <v>43791.41</v>
      </c>
      <c r="J47" s="290"/>
      <c r="K47" s="141"/>
      <c r="L47" s="141" t="s">
        <v>48</v>
      </c>
      <c r="M47" s="291"/>
      <c r="N47" s="292">
        <f>ROUNDDOWN(N46+N27,2)</f>
        <v>42264.5</v>
      </c>
      <c r="O47" s="290"/>
      <c r="P47" s="141"/>
      <c r="Q47" s="141" t="s">
        <v>48</v>
      </c>
      <c r="R47" s="291"/>
      <c r="S47" s="292">
        <f>ROUNDDOWN(S46+S27,2)</f>
        <v>64658.74</v>
      </c>
      <c r="T47" s="290"/>
      <c r="U47" s="141"/>
      <c r="V47" s="141" t="s">
        <v>48</v>
      </c>
      <c r="W47" s="291"/>
      <c r="X47" s="292">
        <f>ROUNDDOWN(X46+X27,2)</f>
        <v>129593.67</v>
      </c>
      <c r="Y47" s="293">
        <f t="shared" si="2"/>
        <v>64934.93</v>
      </c>
      <c r="Z47" s="293">
        <f t="shared" si="9"/>
        <v>87329.17</v>
      </c>
      <c r="AA47" s="294"/>
      <c r="AB47" s="222"/>
      <c r="AC47" s="262"/>
      <c r="AF47" s="87"/>
      <c r="AK47" s="87"/>
      <c r="AP47" s="87"/>
      <c r="AU47" s="87"/>
    </row>
    <row r="48" spans="1:47" s="81" customFormat="1" ht="16.5" customHeight="1">
      <c r="A48" s="1"/>
      <c r="B48" s="295" t="s">
        <v>49</v>
      </c>
      <c r="C48" s="296" t="s">
        <v>50</v>
      </c>
      <c r="D48" s="297"/>
      <c r="E48" s="298"/>
      <c r="F48" s="277"/>
      <c r="G48" s="277" t="s">
        <v>95</v>
      </c>
      <c r="H48" s="299"/>
      <c r="I48" s="206">
        <f>ROUNDDOWN(I46*0.25,2)</f>
        <v>361.06</v>
      </c>
      <c r="J48" s="298"/>
      <c r="K48" s="277"/>
      <c r="L48" s="277" t="s">
        <v>95</v>
      </c>
      <c r="M48" s="299"/>
      <c r="N48" s="206">
        <f>ROUNDDOWN(N46*0.25,2)</f>
        <v>1017.04</v>
      </c>
      <c r="O48" s="298"/>
      <c r="P48" s="277"/>
      <c r="Q48" s="277" t="s">
        <v>96</v>
      </c>
      <c r="R48" s="299"/>
      <c r="S48" s="206">
        <f>ROUNDDOWN(S46*0.22,2)</f>
        <v>513.08000000000004</v>
      </c>
      <c r="T48" s="298"/>
      <c r="U48" s="277"/>
      <c r="V48" s="277" t="s">
        <v>96</v>
      </c>
      <c r="W48" s="299"/>
      <c r="X48" s="206">
        <f>ROUNDDOWN(X46*0.22,2)</f>
        <v>167.76</v>
      </c>
      <c r="Y48" s="207">
        <f t="shared" si="2"/>
        <v>-345.32000000000005</v>
      </c>
      <c r="Z48" s="207">
        <f t="shared" si="9"/>
        <v>-849.28</v>
      </c>
      <c r="AA48" s="300"/>
      <c r="AB48" s="301"/>
      <c r="AC48" s="302"/>
      <c r="AF48" s="87"/>
      <c r="AK48" s="87"/>
      <c r="AP48" s="87"/>
      <c r="AU48" s="87"/>
    </row>
    <row r="49" spans="1:47" s="81" customFormat="1" ht="16.5" customHeight="1">
      <c r="A49" s="1"/>
      <c r="B49" s="295" t="s">
        <v>51</v>
      </c>
      <c r="C49" s="296" t="s">
        <v>97</v>
      </c>
      <c r="D49" s="297"/>
      <c r="E49" s="303"/>
      <c r="F49" s="304"/>
      <c r="G49" s="277" t="s">
        <v>52</v>
      </c>
      <c r="H49" s="299"/>
      <c r="I49" s="206">
        <f>ROUNDDOWN((I46+I48)*0.15,2)</f>
        <v>270.79000000000002</v>
      </c>
      <c r="J49" s="303"/>
      <c r="K49" s="304"/>
      <c r="L49" s="277" t="s">
        <v>52</v>
      </c>
      <c r="M49" s="299"/>
      <c r="N49" s="206">
        <f>ROUNDDOWN((N46+N48)*0.15,2)</f>
        <v>762.78</v>
      </c>
      <c r="O49" s="303"/>
      <c r="P49" s="304"/>
      <c r="Q49" s="277" t="s">
        <v>52</v>
      </c>
      <c r="R49" s="299"/>
      <c r="S49" s="206">
        <f>ROUNDDOWN((S46+S48)*0.15,2)</f>
        <v>426.79</v>
      </c>
      <c r="T49" s="303"/>
      <c r="U49" s="304"/>
      <c r="V49" s="277" t="s">
        <v>52</v>
      </c>
      <c r="W49" s="299"/>
      <c r="X49" s="206">
        <f>ROUNDDOWN((X46+X48)*0.15,2)</f>
        <v>139.55000000000001</v>
      </c>
      <c r="Y49" s="207">
        <f t="shared" si="2"/>
        <v>-287.24</v>
      </c>
      <c r="Z49" s="207">
        <f t="shared" si="9"/>
        <v>-623.23</v>
      </c>
      <c r="AA49" s="305"/>
      <c r="AB49" s="301"/>
      <c r="AC49" s="302"/>
      <c r="AF49" s="87"/>
      <c r="AK49" s="87"/>
      <c r="AP49" s="87"/>
      <c r="AU49" s="87"/>
    </row>
    <row r="50" spans="1:47" s="81" customFormat="1" ht="16.5" customHeight="1">
      <c r="A50" s="1"/>
      <c r="B50" s="295" t="s">
        <v>98</v>
      </c>
      <c r="C50" s="296" t="s">
        <v>53</v>
      </c>
      <c r="D50" s="297"/>
      <c r="E50" s="306"/>
      <c r="F50" s="277"/>
      <c r="G50" s="277" t="s">
        <v>99</v>
      </c>
      <c r="H50" s="299"/>
      <c r="I50" s="307">
        <f>ROUNDDOWN(SUM(I17:I18)*0.02,2)</f>
        <v>0.74</v>
      </c>
      <c r="J50" s="306"/>
      <c r="K50" s="277"/>
      <c r="L50" s="277" t="s">
        <v>99</v>
      </c>
      <c r="M50" s="299"/>
      <c r="N50" s="307">
        <f>ROUNDDOWN(SUM(N17:N18)*0.02,2)</f>
        <v>0.69</v>
      </c>
      <c r="O50" s="306"/>
      <c r="P50" s="277"/>
      <c r="Q50" s="277" t="s">
        <v>99</v>
      </c>
      <c r="R50" s="299"/>
      <c r="S50" s="307">
        <f>ROUNDDOWN(SUM(S17:S18)*0.02,2)</f>
        <v>0.6</v>
      </c>
      <c r="T50" s="306"/>
      <c r="U50" s="277"/>
      <c r="V50" s="277" t="s">
        <v>99</v>
      </c>
      <c r="W50" s="299"/>
      <c r="X50" s="307">
        <f>ROUNDDOWN(SUM(X17:X18)*0.02,2)</f>
        <v>0.68</v>
      </c>
      <c r="Y50" s="308">
        <f t="shared" si="2"/>
        <v>8.0000000000000071E-2</v>
      </c>
      <c r="Z50" s="308">
        <f t="shared" si="9"/>
        <v>-9.9999999999998979E-3</v>
      </c>
      <c r="AA50" s="309"/>
      <c r="AB50" s="310"/>
      <c r="AC50" s="302"/>
      <c r="AF50" s="87"/>
      <c r="AK50" s="87"/>
      <c r="AP50" s="87"/>
      <c r="AU50" s="87"/>
    </row>
    <row r="51" spans="1:47" s="81" customFormat="1" ht="16.5" customHeight="1">
      <c r="A51" s="1"/>
      <c r="B51" s="295" t="s">
        <v>54</v>
      </c>
      <c r="C51" s="311" t="s">
        <v>100</v>
      </c>
      <c r="D51" s="312"/>
      <c r="E51" s="306"/>
      <c r="F51" s="277"/>
      <c r="G51" s="313" t="s">
        <v>101</v>
      </c>
      <c r="H51" s="299"/>
      <c r="I51" s="307">
        <f>ROUNDDOWN(I15*0.01,2)</f>
        <v>153.01</v>
      </c>
      <c r="J51" s="306"/>
      <c r="K51" s="277"/>
      <c r="L51" s="313" t="s">
        <v>101</v>
      </c>
      <c r="M51" s="299"/>
      <c r="N51" s="307">
        <f>ROUNDDOWN(N15*0.01,2)</f>
        <v>180.68</v>
      </c>
      <c r="O51" s="306"/>
      <c r="P51" s="277"/>
      <c r="Q51" s="313" t="s">
        <v>101</v>
      </c>
      <c r="R51" s="299"/>
      <c r="S51" s="307">
        <f>ROUNDDOWN(S15*0.01,2)</f>
        <v>209.68</v>
      </c>
      <c r="T51" s="306"/>
      <c r="U51" s="277"/>
      <c r="V51" s="313" t="s">
        <v>101</v>
      </c>
      <c r="W51" s="299"/>
      <c r="X51" s="307">
        <f>ROUNDDOWN(X15*0.01,2)</f>
        <v>171.62</v>
      </c>
      <c r="Y51" s="308">
        <f t="shared" si="2"/>
        <v>-38.06</v>
      </c>
      <c r="Z51" s="308">
        <f t="shared" si="9"/>
        <v>-9.0600000000000023</v>
      </c>
      <c r="AA51" s="309"/>
      <c r="AB51" s="310"/>
      <c r="AC51" s="302"/>
      <c r="AF51" s="87"/>
      <c r="AK51" s="87"/>
      <c r="AP51" s="87"/>
      <c r="AU51" s="87"/>
    </row>
    <row r="52" spans="1:47" s="81" customFormat="1" ht="16.5" customHeight="1">
      <c r="A52" s="1"/>
      <c r="B52" s="295" t="s">
        <v>55</v>
      </c>
      <c r="C52" s="296" t="s">
        <v>56</v>
      </c>
      <c r="D52" s="297"/>
      <c r="E52" s="268"/>
      <c r="F52" s="277"/>
      <c r="G52" s="314" t="s">
        <v>102</v>
      </c>
      <c r="H52" s="315"/>
      <c r="I52" s="206"/>
      <c r="J52" s="268"/>
      <c r="K52" s="277"/>
      <c r="L52" s="314" t="s">
        <v>102</v>
      </c>
      <c r="M52" s="315"/>
      <c r="N52" s="206"/>
      <c r="O52" s="268"/>
      <c r="P52" s="277"/>
      <c r="Q52" s="314" t="s">
        <v>102</v>
      </c>
      <c r="R52" s="315"/>
      <c r="S52" s="206"/>
      <c r="T52" s="268"/>
      <c r="U52" s="277"/>
      <c r="V52" s="314" t="s">
        <v>102</v>
      </c>
      <c r="W52" s="315"/>
      <c r="X52" s="206"/>
      <c r="Y52" s="207">
        <f t="shared" si="2"/>
        <v>0</v>
      </c>
      <c r="Z52" s="207">
        <f t="shared" si="9"/>
        <v>0</v>
      </c>
      <c r="AA52" s="309"/>
      <c r="AB52" s="310"/>
      <c r="AC52" s="302"/>
      <c r="AF52" s="87"/>
      <c r="AK52" s="87"/>
      <c r="AP52" s="87"/>
      <c r="AU52" s="87"/>
    </row>
    <row r="53" spans="1:47" s="81" customFormat="1" ht="34.5" customHeight="1">
      <c r="A53" s="1"/>
      <c r="B53" s="295" t="s">
        <v>57</v>
      </c>
      <c r="C53" s="296" t="s">
        <v>103</v>
      </c>
      <c r="D53" s="297"/>
      <c r="E53" s="298"/>
      <c r="F53" s="277"/>
      <c r="G53" s="316" t="s">
        <v>104</v>
      </c>
      <c r="H53" s="299"/>
      <c r="I53" s="206">
        <f>SUM(I47:I51)*0.017</f>
        <v>757.80917000000011</v>
      </c>
      <c r="J53" s="298"/>
      <c r="K53" s="277"/>
      <c r="L53" s="316" t="s">
        <v>104</v>
      </c>
      <c r="M53" s="299"/>
      <c r="N53" s="206">
        <f>SUM(N47:N51)*0.017</f>
        <v>751.8367300000001</v>
      </c>
      <c r="O53" s="298"/>
      <c r="P53" s="277"/>
      <c r="Q53" s="316" t="s">
        <v>104</v>
      </c>
      <c r="R53" s="299"/>
      <c r="S53" s="206">
        <f>SUM(S47:S51)*0.017</f>
        <v>1118.7511300000001</v>
      </c>
      <c r="T53" s="298"/>
      <c r="U53" s="277"/>
      <c r="V53" s="316" t="s">
        <v>104</v>
      </c>
      <c r="W53" s="299"/>
      <c r="X53" s="206">
        <f>SUM(X47:X51)*0.017</f>
        <v>2211.2457599999998</v>
      </c>
      <c r="Y53" s="207">
        <f t="shared" si="2"/>
        <v>1092.4946299999997</v>
      </c>
      <c r="Z53" s="207">
        <f t="shared" si="9"/>
        <v>1459.4090299999998</v>
      </c>
      <c r="AA53" s="317" t="s">
        <v>58</v>
      </c>
      <c r="AB53" s="318"/>
      <c r="AC53" s="319"/>
      <c r="AF53" s="87"/>
      <c r="AK53" s="87"/>
      <c r="AP53" s="87"/>
      <c r="AU53" s="87"/>
    </row>
    <row r="54" spans="1:47" s="81" customFormat="1" ht="16.899999999999999" customHeight="1">
      <c r="A54" s="1"/>
      <c r="B54" s="320" t="s">
        <v>59</v>
      </c>
      <c r="C54" s="296" t="s">
        <v>105</v>
      </c>
      <c r="D54" s="297"/>
      <c r="E54" s="298"/>
      <c r="F54" s="277"/>
      <c r="G54" s="316"/>
      <c r="H54" s="299"/>
      <c r="I54" s="206"/>
      <c r="J54" s="298"/>
      <c r="K54" s="277"/>
      <c r="L54" s="316"/>
      <c r="M54" s="299"/>
      <c r="N54" s="206"/>
      <c r="O54" s="298"/>
      <c r="P54" s="277"/>
      <c r="Q54" s="316"/>
      <c r="R54" s="299"/>
      <c r="S54" s="206"/>
      <c r="T54" s="298"/>
      <c r="U54" s="277"/>
      <c r="V54" s="316"/>
      <c r="W54" s="299"/>
      <c r="X54" s="206"/>
      <c r="Y54" s="207"/>
      <c r="Z54" s="207"/>
      <c r="AA54" s="300"/>
      <c r="AB54" s="301"/>
      <c r="AC54" s="321"/>
      <c r="AF54" s="87"/>
      <c r="AK54" s="87"/>
      <c r="AP54" s="87"/>
      <c r="AU54" s="87"/>
    </row>
    <row r="55" spans="1:47" s="81" customFormat="1" ht="16.5" customHeight="1">
      <c r="A55" s="1"/>
      <c r="B55" s="320"/>
      <c r="C55" s="296"/>
      <c r="D55" s="297"/>
      <c r="E55" s="298"/>
      <c r="F55" s="277"/>
      <c r="G55" s="316"/>
      <c r="H55" s="299"/>
      <c r="I55" s="206"/>
      <c r="J55" s="298"/>
      <c r="K55" s="277"/>
      <c r="L55" s="316"/>
      <c r="M55" s="322" t="s">
        <v>106</v>
      </c>
      <c r="N55" s="206"/>
      <c r="O55" s="298"/>
      <c r="P55" s="277"/>
      <c r="Q55" s="316"/>
      <c r="R55" s="322" t="s">
        <v>106</v>
      </c>
      <c r="S55" s="206"/>
      <c r="T55" s="298"/>
      <c r="U55" s="277"/>
      <c r="V55" s="316"/>
      <c r="W55" s="322" t="s">
        <v>106</v>
      </c>
      <c r="X55" s="206"/>
      <c r="Y55" s="207"/>
      <c r="Z55" s="207"/>
      <c r="AA55" s="300"/>
      <c r="AB55" s="301"/>
      <c r="AC55" s="321"/>
      <c r="AF55" s="87"/>
      <c r="AK55" s="87"/>
      <c r="AP55" s="87"/>
      <c r="AU55" s="87"/>
    </row>
    <row r="56" spans="1:47" s="81" customFormat="1" ht="16.5" customHeight="1">
      <c r="A56" s="1"/>
      <c r="B56" s="320"/>
      <c r="C56" s="296" t="s">
        <v>107</v>
      </c>
      <c r="D56" s="297"/>
      <c r="E56" s="298"/>
      <c r="F56" s="277"/>
      <c r="G56" s="316"/>
      <c r="H56" s="299"/>
      <c r="I56" s="206"/>
      <c r="J56" s="298"/>
      <c r="K56" s="277"/>
      <c r="L56" s="316" t="s">
        <v>108</v>
      </c>
      <c r="M56" s="322" t="s">
        <v>60</v>
      </c>
      <c r="N56" s="206">
        <v>-276</v>
      </c>
      <c r="O56" s="298"/>
      <c r="P56" s="277"/>
      <c r="Q56" s="316" t="s">
        <v>108</v>
      </c>
      <c r="R56" s="322" t="s">
        <v>60</v>
      </c>
      <c r="S56" s="206">
        <v>-609</v>
      </c>
      <c r="T56" s="298"/>
      <c r="U56" s="277"/>
      <c r="V56" s="316" t="s">
        <v>108</v>
      </c>
      <c r="W56" s="322" t="s">
        <v>60</v>
      </c>
      <c r="X56" s="206">
        <v>-383</v>
      </c>
      <c r="Y56" s="207">
        <f t="shared" si="2"/>
        <v>226</v>
      </c>
      <c r="Z56" s="207">
        <f t="shared" si="9"/>
        <v>-107</v>
      </c>
      <c r="AA56" s="300"/>
      <c r="AB56" s="301"/>
      <c r="AC56" s="321"/>
      <c r="AF56" s="87"/>
      <c r="AK56" s="87"/>
      <c r="AP56" s="87"/>
      <c r="AU56" s="87"/>
    </row>
    <row r="57" spans="1:47" s="81" customFormat="1" ht="16.5" customHeight="1">
      <c r="A57" s="1"/>
      <c r="B57" s="320"/>
      <c r="C57" s="296" t="s">
        <v>107</v>
      </c>
      <c r="D57" s="297"/>
      <c r="E57" s="298"/>
      <c r="F57" s="277"/>
      <c r="G57" s="316"/>
      <c r="H57" s="299"/>
      <c r="I57" s="206"/>
      <c r="J57" s="298"/>
      <c r="K57" s="277"/>
      <c r="L57" s="316" t="s">
        <v>109</v>
      </c>
      <c r="M57" s="322" t="s">
        <v>110</v>
      </c>
      <c r="N57" s="206">
        <v>-305</v>
      </c>
      <c r="O57" s="298"/>
      <c r="P57" s="277"/>
      <c r="Q57" s="316" t="s">
        <v>109</v>
      </c>
      <c r="R57" s="322" t="s">
        <v>110</v>
      </c>
      <c r="S57" s="206">
        <v>-359</v>
      </c>
      <c r="T57" s="298"/>
      <c r="U57" s="277"/>
      <c r="V57" s="316" t="s">
        <v>109</v>
      </c>
      <c r="W57" s="322" t="s">
        <v>110</v>
      </c>
      <c r="X57" s="206">
        <v>-400</v>
      </c>
      <c r="Y57" s="207">
        <f t="shared" si="2"/>
        <v>-41</v>
      </c>
      <c r="Z57" s="207">
        <f t="shared" si="9"/>
        <v>-95</v>
      </c>
      <c r="AA57" s="300"/>
      <c r="AB57" s="301"/>
      <c r="AC57" s="321"/>
      <c r="AF57" s="87"/>
      <c r="AK57" s="87"/>
      <c r="AP57" s="87"/>
      <c r="AU57" s="87"/>
    </row>
    <row r="58" spans="1:47" s="81" customFormat="1" ht="16.5" customHeight="1">
      <c r="A58" s="1"/>
      <c r="B58" s="320"/>
      <c r="C58" s="296" t="s">
        <v>107</v>
      </c>
      <c r="D58" s="297"/>
      <c r="E58" s="298"/>
      <c r="F58" s="277"/>
      <c r="G58" s="316"/>
      <c r="H58" s="299"/>
      <c r="I58" s="206"/>
      <c r="J58" s="298"/>
      <c r="K58" s="277"/>
      <c r="L58" s="316" t="s">
        <v>111</v>
      </c>
      <c r="M58" s="322" t="s">
        <v>112</v>
      </c>
      <c r="N58" s="206">
        <v>-232</v>
      </c>
      <c r="O58" s="298"/>
      <c r="P58" s="277"/>
      <c r="Q58" s="316" t="s">
        <v>111</v>
      </c>
      <c r="R58" s="322" t="s">
        <v>112</v>
      </c>
      <c r="S58" s="206">
        <v>-290</v>
      </c>
      <c r="T58" s="298"/>
      <c r="U58" s="277"/>
      <c r="V58" s="316" t="s">
        <v>111</v>
      </c>
      <c r="W58" s="322" t="s">
        <v>112</v>
      </c>
      <c r="X58" s="206">
        <v>-162</v>
      </c>
      <c r="Y58" s="207">
        <f t="shared" si="2"/>
        <v>128</v>
      </c>
      <c r="Z58" s="207">
        <f t="shared" si="9"/>
        <v>70</v>
      </c>
      <c r="AA58" s="300"/>
      <c r="AB58" s="301"/>
      <c r="AC58" s="321"/>
      <c r="AF58" s="87"/>
      <c r="AK58" s="87"/>
      <c r="AP58" s="87"/>
      <c r="AU58" s="87"/>
    </row>
    <row r="59" spans="1:47" s="81" customFormat="1" ht="16.5" customHeight="1">
      <c r="A59" s="1"/>
      <c r="B59" s="320"/>
      <c r="C59" s="296" t="s">
        <v>107</v>
      </c>
      <c r="D59" s="297"/>
      <c r="E59" s="298"/>
      <c r="F59" s="277"/>
      <c r="G59" s="316"/>
      <c r="H59" s="299"/>
      <c r="I59" s="206"/>
      <c r="J59" s="298"/>
      <c r="K59" s="277"/>
      <c r="L59" s="316" t="s">
        <v>109</v>
      </c>
      <c r="M59" s="322" t="s">
        <v>113</v>
      </c>
      <c r="N59" s="206">
        <f>4+4-690+122+33</f>
        <v>-527</v>
      </c>
      <c r="O59" s="298"/>
      <c r="P59" s="277"/>
      <c r="Q59" s="316"/>
      <c r="R59" s="322"/>
      <c r="S59" s="206"/>
      <c r="T59" s="298"/>
      <c r="U59" s="277"/>
      <c r="V59" s="316"/>
      <c r="W59" s="322"/>
      <c r="X59" s="206"/>
      <c r="Y59" s="207">
        <f t="shared" si="2"/>
        <v>0</v>
      </c>
      <c r="Z59" s="207">
        <f t="shared" si="9"/>
        <v>527</v>
      </c>
      <c r="AA59" s="300"/>
      <c r="AB59" s="301"/>
      <c r="AC59" s="321"/>
      <c r="AF59" s="87"/>
      <c r="AK59" s="87"/>
      <c r="AP59" s="87"/>
      <c r="AU59" s="87"/>
    </row>
    <row r="60" spans="1:47" s="81" customFormat="1" ht="16.5" customHeight="1">
      <c r="A60" s="1"/>
      <c r="B60" s="320"/>
      <c r="C60" s="296" t="s">
        <v>107</v>
      </c>
      <c r="D60" s="297"/>
      <c r="E60" s="298"/>
      <c r="F60" s="277"/>
      <c r="G60" s="316"/>
      <c r="H60" s="299"/>
      <c r="I60" s="206"/>
      <c r="J60" s="298"/>
      <c r="K60" s="277"/>
      <c r="L60" s="316" t="s">
        <v>111</v>
      </c>
      <c r="M60" s="322" t="s">
        <v>114</v>
      </c>
      <c r="N60" s="206">
        <f>17</f>
        <v>17</v>
      </c>
      <c r="O60" s="298"/>
      <c r="P60" s="277"/>
      <c r="Q60" s="316"/>
      <c r="R60" s="322"/>
      <c r="S60" s="206"/>
      <c r="T60" s="298"/>
      <c r="U60" s="277"/>
      <c r="V60" s="316"/>
      <c r="W60" s="322"/>
      <c r="X60" s="206"/>
      <c r="Y60" s="207">
        <f t="shared" si="2"/>
        <v>0</v>
      </c>
      <c r="Z60" s="207">
        <f t="shared" si="9"/>
        <v>-17</v>
      </c>
      <c r="AA60" s="300"/>
      <c r="AB60" s="301"/>
      <c r="AC60" s="321"/>
      <c r="AF60" s="87"/>
      <c r="AK60" s="87"/>
      <c r="AP60" s="87"/>
      <c r="AU60" s="87"/>
    </row>
    <row r="61" spans="1:47" s="81" customFormat="1" ht="16.5" customHeight="1">
      <c r="A61" s="1"/>
      <c r="B61" s="320"/>
      <c r="C61" s="296" t="s">
        <v>107</v>
      </c>
      <c r="D61" s="297"/>
      <c r="E61" s="298"/>
      <c r="F61" s="277"/>
      <c r="G61" s="316"/>
      <c r="H61" s="299"/>
      <c r="I61" s="206"/>
      <c r="J61" s="298"/>
      <c r="K61" s="277"/>
      <c r="L61" s="316" t="s">
        <v>115</v>
      </c>
      <c r="M61" s="322" t="s">
        <v>116</v>
      </c>
      <c r="N61" s="206">
        <v>-1074</v>
      </c>
      <c r="O61" s="298"/>
      <c r="P61" s="277"/>
      <c r="Q61" s="323"/>
      <c r="R61" s="322"/>
      <c r="S61" s="206"/>
      <c r="T61" s="298"/>
      <c r="U61" s="277"/>
      <c r="V61" s="323"/>
      <c r="W61" s="322"/>
      <c r="X61" s="206"/>
      <c r="Y61" s="207">
        <f t="shared" si="2"/>
        <v>0</v>
      </c>
      <c r="Z61" s="207">
        <f t="shared" si="9"/>
        <v>1074</v>
      </c>
      <c r="AA61" s="300"/>
      <c r="AB61" s="301"/>
      <c r="AC61" s="321"/>
      <c r="AF61" s="87"/>
      <c r="AK61" s="87"/>
      <c r="AP61" s="87"/>
      <c r="AU61" s="87"/>
    </row>
    <row r="62" spans="1:47" s="81" customFormat="1" ht="16.5" customHeight="1" thickBot="1">
      <c r="A62" s="1"/>
      <c r="B62" s="320"/>
      <c r="C62" s="296"/>
      <c r="D62" s="297"/>
      <c r="E62" s="298"/>
      <c r="F62" s="277"/>
      <c r="G62" s="316"/>
      <c r="H62" s="299"/>
      <c r="I62" s="206"/>
      <c r="J62" s="298"/>
      <c r="K62" s="277"/>
      <c r="L62" s="316"/>
      <c r="M62" s="299" t="s">
        <v>61</v>
      </c>
      <c r="N62" s="206">
        <f>507-294</f>
        <v>213</v>
      </c>
      <c r="O62" s="298"/>
      <c r="P62" s="277"/>
      <c r="Q62" s="316"/>
      <c r="R62" s="299"/>
      <c r="S62" s="206"/>
      <c r="T62" s="298"/>
      <c r="U62" s="277"/>
      <c r="V62" s="316"/>
      <c r="W62" s="299"/>
      <c r="X62" s="206"/>
      <c r="Y62" s="67">
        <f t="shared" si="2"/>
        <v>0</v>
      </c>
      <c r="Z62" s="67">
        <f t="shared" si="9"/>
        <v>-213</v>
      </c>
      <c r="AA62" s="300"/>
      <c r="AB62" s="301"/>
      <c r="AC62" s="321"/>
      <c r="AF62" s="87"/>
      <c r="AK62" s="87"/>
      <c r="AP62" s="87"/>
      <c r="AU62" s="87"/>
    </row>
    <row r="63" spans="1:47" s="81" customFormat="1" ht="16.5" customHeight="1" thickBot="1">
      <c r="A63" s="1"/>
      <c r="B63" s="324"/>
      <c r="C63" s="325" t="s">
        <v>117</v>
      </c>
      <c r="D63" s="326"/>
      <c r="E63" s="327"/>
      <c r="F63" s="284"/>
      <c r="G63" s="328"/>
      <c r="H63" s="329" t="s">
        <v>118</v>
      </c>
      <c r="I63" s="330">
        <f>ROUNDDOWN(SUM(I47:I62),0)</f>
        <v>45334</v>
      </c>
      <c r="J63" s="327"/>
      <c r="K63" s="284"/>
      <c r="L63" s="328"/>
      <c r="M63" s="329" t="s">
        <v>118</v>
      </c>
      <c r="N63" s="330">
        <f>ROUNDDOWN(SUM(N47:N62),0)</f>
        <v>42793</v>
      </c>
      <c r="O63" s="327"/>
      <c r="P63" s="284"/>
      <c r="Q63" s="328"/>
      <c r="R63" s="329" t="s">
        <v>119</v>
      </c>
      <c r="S63" s="330">
        <f>ROUNDDOWN(SUM(S47:S62),0)</f>
        <v>65669</v>
      </c>
      <c r="T63" s="327"/>
      <c r="U63" s="284"/>
      <c r="V63" s="328"/>
      <c r="W63" s="329" t="s">
        <v>118</v>
      </c>
      <c r="X63" s="330">
        <f>ROUNDDOWN(SUM(X47:X62),0)</f>
        <v>131339</v>
      </c>
      <c r="Y63" s="331">
        <f t="shared" si="2"/>
        <v>65670</v>
      </c>
      <c r="Z63" s="332">
        <f t="shared" si="9"/>
        <v>88546</v>
      </c>
      <c r="AA63" s="333"/>
      <c r="AB63" s="334"/>
      <c r="AC63" s="335"/>
      <c r="AF63" s="87"/>
      <c r="AK63" s="87"/>
      <c r="AP63" s="87"/>
      <c r="AU63" s="87"/>
    </row>
    <row r="64" spans="1:47" s="81" customFormat="1" ht="16.5" customHeight="1" thickBot="1">
      <c r="A64" s="1"/>
      <c r="B64" s="336" t="s">
        <v>62</v>
      </c>
      <c r="C64" s="337"/>
      <c r="D64" s="338"/>
      <c r="E64" s="90"/>
      <c r="F64" s="90"/>
      <c r="G64" s="90"/>
      <c r="H64" s="339" t="s">
        <v>120</v>
      </c>
      <c r="I64" s="340">
        <f>I63-I15</f>
        <v>30033</v>
      </c>
      <c r="J64" s="90"/>
      <c r="K64" s="90"/>
      <c r="L64" s="90"/>
      <c r="M64" s="339" t="s">
        <v>120</v>
      </c>
      <c r="N64" s="340">
        <f>N63-N15</f>
        <v>24725</v>
      </c>
      <c r="O64" s="90"/>
      <c r="P64" s="90"/>
      <c r="Q64" s="90"/>
      <c r="R64" s="339" t="s">
        <v>121</v>
      </c>
      <c r="S64" s="340">
        <f>S63-S15</f>
        <v>44701</v>
      </c>
      <c r="T64" s="90"/>
      <c r="U64" s="90"/>
      <c r="V64" s="90"/>
      <c r="W64" s="339" t="s">
        <v>120</v>
      </c>
      <c r="X64" s="340">
        <f>X63-X15</f>
        <v>114177</v>
      </c>
      <c r="Y64" s="331">
        <f t="shared" si="2"/>
        <v>69476</v>
      </c>
      <c r="Z64" s="332">
        <f t="shared" si="9"/>
        <v>89452</v>
      </c>
      <c r="AA64" s="341"/>
      <c r="AB64" s="90"/>
      <c r="AC64" s="342"/>
      <c r="AF64" s="87"/>
      <c r="AK64" s="87"/>
      <c r="AP64" s="87"/>
      <c r="AU64" s="87"/>
    </row>
    <row r="65" spans="1:47" s="81" customFormat="1" ht="16.149999999999999" customHeight="1">
      <c r="A65" s="1"/>
      <c r="B65" s="1"/>
      <c r="C65" s="234"/>
      <c r="D65" s="234"/>
      <c r="E65" s="234"/>
      <c r="F65" s="234"/>
      <c r="G65" s="234"/>
      <c r="H65" s="234"/>
      <c r="I65" s="343"/>
      <c r="J65" s="234"/>
      <c r="K65" s="234"/>
      <c r="L65" s="234"/>
      <c r="M65" s="234"/>
      <c r="N65" s="344"/>
      <c r="O65" s="234"/>
      <c r="P65" s="343"/>
      <c r="Q65" s="234"/>
      <c r="R65" s="345"/>
      <c r="S65" s="346"/>
      <c r="T65" s="234"/>
      <c r="U65" s="343"/>
      <c r="V65" s="234"/>
      <c r="W65" s="345"/>
      <c r="X65" s="346"/>
      <c r="Y65" s="347"/>
      <c r="Z65" s="234"/>
      <c r="AA65" s="78"/>
      <c r="AB65" s="234"/>
      <c r="AC65" s="348"/>
      <c r="AF65" s="87"/>
      <c r="AK65" s="87"/>
      <c r="AP65" s="87"/>
      <c r="AU65" s="87"/>
    </row>
    <row r="66" spans="1:47" s="81" customFormat="1" ht="16.149999999999999" customHeight="1">
      <c r="A66" s="1"/>
      <c r="B66" s="1"/>
      <c r="C66" s="234"/>
      <c r="D66" s="234"/>
      <c r="E66" s="234"/>
      <c r="F66" s="234"/>
      <c r="G66" s="234"/>
      <c r="H66" s="234"/>
      <c r="I66" s="343"/>
      <c r="J66" s="234"/>
      <c r="K66" s="234"/>
      <c r="L66" s="234"/>
      <c r="M66" s="349"/>
      <c r="N66" s="350"/>
      <c r="O66" s="234"/>
      <c r="P66" s="343"/>
      <c r="Q66" s="234"/>
      <c r="R66" s="345"/>
      <c r="S66" s="346"/>
      <c r="T66" s="234"/>
      <c r="U66" s="343"/>
      <c r="V66" s="234"/>
      <c r="W66" s="345"/>
      <c r="X66" s="346"/>
      <c r="Y66" s="234"/>
      <c r="Z66" s="234"/>
      <c r="AA66" s="78"/>
      <c r="AB66" s="234"/>
      <c r="AC66" s="348"/>
      <c r="AF66" s="87"/>
      <c r="AK66" s="87"/>
      <c r="AP66" s="87"/>
      <c r="AU66" s="87"/>
    </row>
    <row r="67" spans="1:47" s="81" customFormat="1" ht="16.149999999999999" customHeight="1">
      <c r="A67" s="1"/>
      <c r="B67" s="1"/>
      <c r="C67" s="234"/>
      <c r="D67" s="234"/>
      <c r="E67" s="234"/>
      <c r="F67" s="234"/>
      <c r="G67" s="234"/>
      <c r="H67" s="234"/>
      <c r="I67" s="343"/>
      <c r="J67" s="234"/>
      <c r="K67" s="234"/>
      <c r="L67" s="234"/>
      <c r="M67" s="351"/>
      <c r="N67" s="344"/>
      <c r="O67" s="343"/>
      <c r="Q67" s="234"/>
      <c r="R67" s="345"/>
      <c r="S67" s="346"/>
      <c r="T67" s="234"/>
      <c r="U67" s="343"/>
      <c r="V67" s="234"/>
      <c r="W67" s="345"/>
      <c r="X67" s="346"/>
      <c r="Y67" s="234"/>
      <c r="Z67" s="234"/>
      <c r="AA67" s="78"/>
      <c r="AB67" s="234"/>
      <c r="AC67" s="348"/>
      <c r="AF67" s="87"/>
      <c r="AK67" s="87"/>
      <c r="AP67" s="87"/>
      <c r="AU67" s="87"/>
    </row>
    <row r="68" spans="1:47" s="81" customFormat="1" ht="16.149999999999999" customHeight="1">
      <c r="A68" s="1"/>
      <c r="B68" s="1"/>
      <c r="C68" s="352"/>
      <c r="D68" s="352"/>
      <c r="E68" s="352"/>
      <c r="F68" s="352"/>
      <c r="G68" s="352"/>
      <c r="H68" s="352"/>
      <c r="I68" s="352"/>
      <c r="J68" s="352"/>
      <c r="K68" s="352"/>
      <c r="L68" s="352"/>
      <c r="M68" s="352"/>
      <c r="N68" s="353"/>
      <c r="O68" s="352"/>
      <c r="P68" s="352"/>
      <c r="Q68" s="352"/>
      <c r="R68" s="352"/>
      <c r="S68" s="352"/>
      <c r="T68" s="352"/>
      <c r="U68" s="352"/>
      <c r="V68" s="352"/>
      <c r="W68" s="352"/>
      <c r="X68" s="352"/>
      <c r="Y68" s="352"/>
      <c r="Z68" s="234"/>
      <c r="AA68" s="78"/>
      <c r="AB68" s="234"/>
      <c r="AC68" s="348"/>
      <c r="AF68" s="87"/>
      <c r="AK68" s="87"/>
      <c r="AP68" s="87"/>
      <c r="AU68" s="87"/>
    </row>
    <row r="69" spans="1:47" s="81" customFormat="1" ht="16.5" customHeight="1">
      <c r="A69" s="1"/>
      <c r="B69" s="1"/>
      <c r="C69" s="352"/>
      <c r="D69" s="352"/>
      <c r="E69" s="352"/>
      <c r="F69" s="354" t="s">
        <v>122</v>
      </c>
      <c r="G69" s="354" t="s">
        <v>123</v>
      </c>
      <c r="H69" s="354" t="s">
        <v>124</v>
      </c>
      <c r="I69" s="354"/>
      <c r="J69" s="352"/>
      <c r="K69" s="354" t="s">
        <v>122</v>
      </c>
      <c r="L69" s="354" t="s">
        <v>123</v>
      </c>
      <c r="M69" s="354" t="s">
        <v>124</v>
      </c>
      <c r="N69" s="354"/>
      <c r="O69" s="352"/>
      <c r="P69" s="354" t="s">
        <v>122</v>
      </c>
      <c r="Q69" s="354" t="s">
        <v>123</v>
      </c>
      <c r="R69" s="354" t="s">
        <v>124</v>
      </c>
      <c r="S69" s="354"/>
      <c r="T69" s="352"/>
      <c r="U69" s="354" t="s">
        <v>122</v>
      </c>
      <c r="V69" s="354" t="s">
        <v>123</v>
      </c>
      <c r="W69" s="354" t="s">
        <v>124</v>
      </c>
      <c r="X69" s="354"/>
      <c r="Y69" s="352"/>
      <c r="Z69" s="234"/>
      <c r="AA69" s="78"/>
      <c r="AB69" s="234"/>
      <c r="AC69" s="348"/>
      <c r="AF69" s="87"/>
      <c r="AK69" s="87"/>
      <c r="AP69" s="87"/>
      <c r="AU69" s="87"/>
    </row>
    <row r="70" spans="1:47" s="81" customFormat="1" ht="16.5" customHeight="1">
      <c r="A70" s="1"/>
      <c r="B70" s="1"/>
      <c r="C70" s="352"/>
      <c r="D70" s="352"/>
      <c r="E70" s="352"/>
      <c r="F70" s="354"/>
      <c r="G70" s="354"/>
      <c r="H70" s="354" t="s">
        <v>125</v>
      </c>
      <c r="I70" s="354" t="s">
        <v>126</v>
      </c>
      <c r="J70" s="352"/>
      <c r="K70" s="354"/>
      <c r="L70" s="354"/>
      <c r="M70" s="354" t="s">
        <v>125</v>
      </c>
      <c r="N70" s="354" t="s">
        <v>126</v>
      </c>
      <c r="O70" s="352"/>
      <c r="P70" s="354"/>
      <c r="Q70" s="354"/>
      <c r="R70" s="354" t="s">
        <v>125</v>
      </c>
      <c r="S70" s="354" t="s">
        <v>126</v>
      </c>
      <c r="T70" s="352"/>
      <c r="U70" s="354"/>
      <c r="V70" s="354"/>
      <c r="W70" s="354" t="s">
        <v>125</v>
      </c>
      <c r="X70" s="354" t="s">
        <v>126</v>
      </c>
      <c r="Y70" s="352"/>
      <c r="Z70" s="234"/>
      <c r="AA70" s="78"/>
      <c r="AB70" s="234"/>
      <c r="AC70" s="348"/>
      <c r="AF70" s="87"/>
      <c r="AK70" s="87"/>
      <c r="AP70" s="87"/>
      <c r="AU70" s="87"/>
    </row>
    <row r="71" spans="1:47" s="81" customFormat="1" ht="15.6" customHeight="1">
      <c r="A71" s="1"/>
      <c r="B71" s="1"/>
      <c r="C71" s="352"/>
      <c r="D71" s="352"/>
      <c r="E71" s="352"/>
      <c r="F71" s="354" t="s">
        <v>22</v>
      </c>
      <c r="G71" s="354">
        <v>1</v>
      </c>
      <c r="H71" s="354">
        <v>7</v>
      </c>
      <c r="I71" s="354">
        <f>G71*H71</f>
        <v>7</v>
      </c>
      <c r="J71" s="352"/>
      <c r="K71" s="354" t="s">
        <v>22</v>
      </c>
      <c r="L71" s="354">
        <v>1</v>
      </c>
      <c r="M71" s="354">
        <v>12</v>
      </c>
      <c r="N71" s="354">
        <f>L71*M71</f>
        <v>12</v>
      </c>
      <c r="O71" s="352"/>
      <c r="P71" s="354" t="s">
        <v>22</v>
      </c>
      <c r="Q71" s="354">
        <v>1</v>
      </c>
      <c r="R71" s="354">
        <v>12</v>
      </c>
      <c r="S71" s="354">
        <f>Q71*R71</f>
        <v>12</v>
      </c>
      <c r="T71" s="352"/>
      <c r="U71" s="354" t="s">
        <v>22</v>
      </c>
      <c r="V71" s="354">
        <v>1</v>
      </c>
      <c r="W71" s="354">
        <v>7</v>
      </c>
      <c r="X71" s="354">
        <f>V71*W71</f>
        <v>7</v>
      </c>
      <c r="Y71" s="352"/>
      <c r="Z71" s="234"/>
      <c r="AA71" s="78"/>
      <c r="AB71" s="234"/>
      <c r="AC71" s="348"/>
      <c r="AF71" s="87"/>
      <c r="AK71" s="87"/>
      <c r="AP71" s="87"/>
      <c r="AU71" s="87"/>
    </row>
    <row r="72" spans="1:47" s="81" customFormat="1" ht="16.5" customHeight="1">
      <c r="A72" s="1"/>
      <c r="B72" s="1"/>
      <c r="C72" s="352"/>
      <c r="D72" s="352"/>
      <c r="E72" s="352"/>
      <c r="F72" s="355" t="s">
        <v>27</v>
      </c>
      <c r="G72" s="354">
        <v>1</v>
      </c>
      <c r="H72" s="354">
        <v>5</v>
      </c>
      <c r="I72" s="354">
        <f t="shared" ref="I72:I77" si="10">G72*H72</f>
        <v>5</v>
      </c>
      <c r="J72" s="352"/>
      <c r="K72" s="355" t="s">
        <v>27</v>
      </c>
      <c r="L72" s="354">
        <v>1</v>
      </c>
      <c r="M72" s="354">
        <v>5</v>
      </c>
      <c r="N72" s="354">
        <f t="shared" ref="N72:N77" si="11">L72*M72</f>
        <v>5</v>
      </c>
      <c r="O72" s="352"/>
      <c r="P72" s="355" t="s">
        <v>27</v>
      </c>
      <c r="Q72" s="354">
        <v>1</v>
      </c>
      <c r="R72" s="354">
        <v>5</v>
      </c>
      <c r="S72" s="354">
        <f t="shared" ref="S72:S73" si="12">Q72*R72</f>
        <v>5</v>
      </c>
      <c r="T72" s="352"/>
      <c r="U72" s="355" t="s">
        <v>27</v>
      </c>
      <c r="V72" s="354">
        <v>1</v>
      </c>
      <c r="W72" s="354">
        <v>5</v>
      </c>
      <c r="X72" s="354">
        <f t="shared" ref="X72:X77" si="13">V72*W72</f>
        <v>5</v>
      </c>
      <c r="Y72" s="352"/>
      <c r="Z72" s="234"/>
      <c r="AA72" s="78"/>
      <c r="AB72" s="234"/>
      <c r="AC72" s="348"/>
      <c r="AF72" s="87"/>
      <c r="AK72" s="87"/>
      <c r="AP72" s="87"/>
      <c r="AU72" s="87"/>
    </row>
    <row r="73" spans="1:47" s="81" customFormat="1" ht="16.5" customHeight="1">
      <c r="A73" s="1"/>
      <c r="B73" s="1"/>
      <c r="C73" s="352"/>
      <c r="D73" s="352"/>
      <c r="E73" s="352"/>
      <c r="F73" s="355" t="s">
        <v>29</v>
      </c>
      <c r="G73" s="354">
        <v>12</v>
      </c>
      <c r="H73" s="354">
        <v>4</v>
      </c>
      <c r="I73" s="354">
        <f t="shared" si="10"/>
        <v>48</v>
      </c>
      <c r="J73" s="352"/>
      <c r="K73" s="355" t="s">
        <v>29</v>
      </c>
      <c r="L73" s="354">
        <v>12</v>
      </c>
      <c r="M73" s="354">
        <v>3</v>
      </c>
      <c r="N73" s="354">
        <f t="shared" si="11"/>
        <v>36</v>
      </c>
      <c r="O73" s="352"/>
      <c r="P73" s="355" t="s">
        <v>29</v>
      </c>
      <c r="Q73" s="354">
        <v>11</v>
      </c>
      <c r="R73" s="354">
        <v>3</v>
      </c>
      <c r="S73" s="354">
        <f t="shared" si="12"/>
        <v>33</v>
      </c>
      <c r="T73" s="352"/>
      <c r="U73" s="355" t="s">
        <v>29</v>
      </c>
      <c r="V73" s="354">
        <v>11</v>
      </c>
      <c r="W73" s="354">
        <v>3</v>
      </c>
      <c r="X73" s="354">
        <f t="shared" si="13"/>
        <v>33</v>
      </c>
      <c r="Y73" s="352"/>
      <c r="Z73" s="234"/>
      <c r="AA73" s="78"/>
      <c r="AB73" s="234"/>
      <c r="AC73" s="348"/>
      <c r="AF73" s="87"/>
      <c r="AK73" s="87"/>
      <c r="AP73" s="87"/>
      <c r="AU73" s="87"/>
    </row>
    <row r="74" spans="1:47" s="81" customFormat="1" ht="16.5" customHeight="1">
      <c r="A74" s="1"/>
      <c r="B74" s="1"/>
      <c r="C74" s="352"/>
      <c r="D74" s="352"/>
      <c r="E74" s="352"/>
      <c r="F74" s="355" t="s">
        <v>29</v>
      </c>
      <c r="G74" s="354">
        <v>1</v>
      </c>
      <c r="H74" s="354">
        <v>7</v>
      </c>
      <c r="I74" s="354">
        <f t="shared" si="10"/>
        <v>7</v>
      </c>
      <c r="J74" s="352"/>
      <c r="K74" s="355" t="s">
        <v>29</v>
      </c>
      <c r="L74" s="354">
        <v>1</v>
      </c>
      <c r="M74" s="354">
        <v>7</v>
      </c>
      <c r="N74" s="354">
        <f t="shared" si="11"/>
        <v>7</v>
      </c>
      <c r="O74" s="352"/>
      <c r="P74" s="355"/>
      <c r="Q74" s="354"/>
      <c r="R74" s="354"/>
      <c r="S74" s="354"/>
      <c r="T74" s="352"/>
      <c r="U74" s="355"/>
      <c r="V74" s="354"/>
      <c r="W74" s="354"/>
      <c r="X74" s="354"/>
      <c r="Y74" s="352"/>
      <c r="Z74" s="234"/>
      <c r="AA74" s="78"/>
      <c r="AB74" s="234"/>
      <c r="AC74" s="348"/>
      <c r="AF74" s="87"/>
      <c r="AK74" s="87"/>
      <c r="AP74" s="87"/>
      <c r="AU74" s="87"/>
    </row>
    <row r="75" spans="1:47" s="81" customFormat="1" ht="16.5" customHeight="1">
      <c r="A75" s="1"/>
      <c r="B75" s="1"/>
      <c r="C75" s="352"/>
      <c r="D75" s="352"/>
      <c r="E75" s="352"/>
      <c r="F75" s="355" t="s">
        <v>33</v>
      </c>
      <c r="G75" s="354">
        <v>2</v>
      </c>
      <c r="H75" s="354">
        <v>2</v>
      </c>
      <c r="I75" s="354">
        <f t="shared" si="10"/>
        <v>4</v>
      </c>
      <c r="J75" s="352"/>
      <c r="K75" s="355" t="s">
        <v>33</v>
      </c>
      <c r="L75" s="354">
        <v>2</v>
      </c>
      <c r="M75" s="354">
        <v>2</v>
      </c>
      <c r="N75" s="354">
        <f t="shared" si="11"/>
        <v>4</v>
      </c>
      <c r="O75" s="352"/>
      <c r="P75" s="355" t="s">
        <v>33</v>
      </c>
      <c r="Q75" s="354">
        <v>3</v>
      </c>
      <c r="R75" s="354">
        <v>2</v>
      </c>
      <c r="S75" s="354">
        <f t="shared" ref="S75:S77" si="14">Q75*R75</f>
        <v>6</v>
      </c>
      <c r="T75" s="352"/>
      <c r="U75" s="355" t="s">
        <v>33</v>
      </c>
      <c r="V75" s="354">
        <v>3</v>
      </c>
      <c r="W75" s="354">
        <v>2</v>
      </c>
      <c r="X75" s="354">
        <f t="shared" si="13"/>
        <v>6</v>
      </c>
      <c r="Y75" s="352"/>
      <c r="Z75" s="234"/>
      <c r="AA75" s="78"/>
      <c r="AB75" s="234"/>
      <c r="AC75" s="348"/>
      <c r="AF75" s="87"/>
      <c r="AK75" s="87"/>
      <c r="AP75" s="87"/>
      <c r="AU75" s="87"/>
    </row>
    <row r="76" spans="1:47" s="81" customFormat="1" ht="16.5" customHeight="1">
      <c r="A76" s="1"/>
      <c r="B76" s="1"/>
      <c r="C76" s="352"/>
      <c r="D76" s="352"/>
      <c r="E76" s="352"/>
      <c r="F76" s="355" t="s">
        <v>32</v>
      </c>
      <c r="G76" s="354">
        <v>6</v>
      </c>
      <c r="H76" s="354">
        <v>4</v>
      </c>
      <c r="I76" s="354">
        <f t="shared" si="10"/>
        <v>24</v>
      </c>
      <c r="J76" s="352"/>
      <c r="K76" s="355" t="s">
        <v>32</v>
      </c>
      <c r="L76" s="354">
        <v>6</v>
      </c>
      <c r="M76" s="354">
        <v>3</v>
      </c>
      <c r="N76" s="354">
        <f t="shared" si="11"/>
        <v>18</v>
      </c>
      <c r="O76" s="352"/>
      <c r="P76" s="355" t="s">
        <v>32</v>
      </c>
      <c r="Q76" s="354">
        <v>2</v>
      </c>
      <c r="R76" s="354">
        <v>3</v>
      </c>
      <c r="S76" s="354">
        <f t="shared" si="14"/>
        <v>6</v>
      </c>
      <c r="T76" s="352"/>
      <c r="U76" s="355" t="s">
        <v>32</v>
      </c>
      <c r="V76" s="354">
        <v>2</v>
      </c>
      <c r="W76" s="354">
        <v>3</v>
      </c>
      <c r="X76" s="354">
        <f t="shared" si="13"/>
        <v>6</v>
      </c>
      <c r="Y76" s="352"/>
      <c r="Z76" s="234"/>
      <c r="AA76" s="78"/>
      <c r="AB76" s="234"/>
      <c r="AC76" s="348"/>
      <c r="AF76" s="87"/>
      <c r="AK76" s="87"/>
      <c r="AP76" s="87"/>
      <c r="AU76" s="87"/>
    </row>
    <row r="77" spans="1:47" s="81" customFormat="1" ht="16.5" customHeight="1">
      <c r="A77" s="1"/>
      <c r="B77" s="1"/>
      <c r="C77" s="352"/>
      <c r="D77" s="352"/>
      <c r="E77" s="352"/>
      <c r="F77" s="355" t="s">
        <v>34</v>
      </c>
      <c r="G77" s="354">
        <v>1</v>
      </c>
      <c r="H77" s="354">
        <v>7</v>
      </c>
      <c r="I77" s="354">
        <f t="shared" si="10"/>
        <v>7</v>
      </c>
      <c r="J77" s="352"/>
      <c r="K77" s="355" t="s">
        <v>34</v>
      </c>
      <c r="L77" s="354">
        <v>1</v>
      </c>
      <c r="M77" s="354">
        <v>12</v>
      </c>
      <c r="N77" s="354">
        <f t="shared" si="11"/>
        <v>12</v>
      </c>
      <c r="O77" s="352"/>
      <c r="P77" s="355" t="s">
        <v>34</v>
      </c>
      <c r="Q77" s="354">
        <v>1</v>
      </c>
      <c r="R77" s="354">
        <v>12</v>
      </c>
      <c r="S77" s="354">
        <f t="shared" si="14"/>
        <v>12</v>
      </c>
      <c r="T77" s="352"/>
      <c r="U77" s="355" t="s">
        <v>34</v>
      </c>
      <c r="V77" s="354">
        <v>1</v>
      </c>
      <c r="W77" s="354">
        <v>7</v>
      </c>
      <c r="X77" s="354">
        <f t="shared" si="13"/>
        <v>7</v>
      </c>
      <c r="Y77" s="352"/>
      <c r="AA77" s="78"/>
      <c r="AB77" s="234"/>
      <c r="AC77" s="348"/>
      <c r="AF77" s="87"/>
      <c r="AK77" s="87"/>
      <c r="AP77" s="87"/>
      <c r="AU77" s="87"/>
    </row>
    <row r="78" spans="1:47" s="81" customFormat="1" ht="16.5" customHeight="1">
      <c r="A78" s="1"/>
      <c r="B78" s="1"/>
      <c r="C78" s="356"/>
      <c r="D78" s="357"/>
      <c r="E78" s="358"/>
      <c r="F78" s="355" t="s">
        <v>63</v>
      </c>
      <c r="G78" s="354"/>
      <c r="H78" s="354"/>
      <c r="I78" s="354">
        <v>16</v>
      </c>
      <c r="J78" s="358"/>
      <c r="K78" s="355" t="s">
        <v>63</v>
      </c>
      <c r="L78" s="354"/>
      <c r="M78" s="354"/>
      <c r="N78" s="354">
        <v>22</v>
      </c>
      <c r="O78" s="358"/>
      <c r="P78" s="355" t="s">
        <v>63</v>
      </c>
      <c r="Q78" s="354"/>
      <c r="R78" s="354"/>
      <c r="S78" s="354">
        <v>22</v>
      </c>
      <c r="T78" s="358"/>
      <c r="U78" s="355" t="s">
        <v>63</v>
      </c>
      <c r="V78" s="354"/>
      <c r="W78" s="354"/>
      <c r="X78" s="354">
        <v>16</v>
      </c>
      <c r="Y78" s="359"/>
      <c r="Z78" s="234"/>
      <c r="AA78" s="78"/>
      <c r="AB78" s="90"/>
      <c r="AC78" s="342"/>
      <c r="AF78" s="87"/>
      <c r="AK78" s="87"/>
      <c r="AP78" s="87"/>
      <c r="AU78" s="87"/>
    </row>
    <row r="79" spans="1:47" s="81" customFormat="1" ht="16.5" customHeight="1">
      <c r="A79" s="1"/>
      <c r="B79" s="1"/>
      <c r="C79" s="356"/>
      <c r="D79" s="352"/>
      <c r="E79" s="358"/>
      <c r="F79" s="355" t="s">
        <v>64</v>
      </c>
      <c r="G79" s="354"/>
      <c r="H79" s="354"/>
      <c r="I79" s="354">
        <v>10</v>
      </c>
      <c r="J79" s="358"/>
      <c r="K79" s="355" t="s">
        <v>64</v>
      </c>
      <c r="L79" s="354"/>
      <c r="M79" s="354"/>
      <c r="N79" s="354">
        <v>10</v>
      </c>
      <c r="O79" s="358"/>
      <c r="P79" s="355" t="s">
        <v>64</v>
      </c>
      <c r="Q79" s="354"/>
      <c r="R79" s="354"/>
      <c r="S79" s="354">
        <v>10</v>
      </c>
      <c r="T79" s="358"/>
      <c r="U79" s="355" t="s">
        <v>64</v>
      </c>
      <c r="V79" s="354"/>
      <c r="W79" s="354"/>
      <c r="X79" s="354">
        <v>0</v>
      </c>
      <c r="Y79" s="359"/>
      <c r="Z79" s="360"/>
      <c r="AA79" s="78"/>
      <c r="AB79" s="90"/>
      <c r="AC79" s="342"/>
      <c r="AF79" s="87"/>
      <c r="AK79" s="87"/>
      <c r="AP79" s="87"/>
      <c r="AU79" s="87"/>
    </row>
    <row r="80" spans="1:47" s="81" customFormat="1" ht="16.5" customHeight="1">
      <c r="A80" s="1"/>
      <c r="B80" s="1"/>
      <c r="C80" s="361"/>
      <c r="D80" s="352"/>
      <c r="E80" s="358"/>
      <c r="F80" s="354" t="s">
        <v>127</v>
      </c>
      <c r="G80" s="354">
        <f>SUM(G71:G78)</f>
        <v>24</v>
      </c>
      <c r="H80" s="354"/>
      <c r="I80" s="354">
        <f>SUM(I71:I79)</f>
        <v>128</v>
      </c>
      <c r="J80" s="358"/>
      <c r="K80" s="354" t="s">
        <v>127</v>
      </c>
      <c r="L80" s="354">
        <f>SUM(L71:L78)</f>
        <v>24</v>
      </c>
      <c r="M80" s="354"/>
      <c r="N80" s="354">
        <f>SUM(N71:N79)</f>
        <v>126</v>
      </c>
      <c r="O80" s="358"/>
      <c r="P80" s="354" t="s">
        <v>127</v>
      </c>
      <c r="Q80" s="354">
        <f>SUM(Q71:Q78)</f>
        <v>19</v>
      </c>
      <c r="R80" s="354"/>
      <c r="S80" s="354">
        <f>SUM(S71:S79)</f>
        <v>106</v>
      </c>
      <c r="T80" s="358"/>
      <c r="U80" s="354" t="s">
        <v>127</v>
      </c>
      <c r="V80" s="354">
        <f>SUM(V71:V78)</f>
        <v>19</v>
      </c>
      <c r="W80" s="354"/>
      <c r="X80" s="354">
        <f>SUM(X71:X79)</f>
        <v>80</v>
      </c>
      <c r="Y80" s="359"/>
      <c r="Z80" s="360"/>
      <c r="AA80" s="78"/>
      <c r="AB80" s="90"/>
      <c r="AC80" s="342"/>
      <c r="AF80" s="87"/>
      <c r="AK80" s="87"/>
      <c r="AP80" s="87"/>
      <c r="AU80" s="87"/>
    </row>
    <row r="81" spans="1:50" s="81" customFormat="1">
      <c r="A81" s="1"/>
      <c r="B81" s="1"/>
      <c r="C81" s="361"/>
      <c r="D81" s="352"/>
      <c r="E81" s="358"/>
      <c r="F81" s="358"/>
      <c r="G81" s="358"/>
      <c r="H81" s="362"/>
      <c r="I81" s="359"/>
      <c r="J81" s="358"/>
      <c r="K81" s="358"/>
      <c r="L81" s="358"/>
      <c r="M81" s="362"/>
      <c r="N81" s="359"/>
      <c r="O81" s="358"/>
      <c r="P81" s="358"/>
      <c r="Q81" s="358"/>
      <c r="R81" s="362"/>
      <c r="S81" s="359"/>
      <c r="T81" s="358"/>
      <c r="U81" s="358"/>
      <c r="V81" s="358"/>
      <c r="W81" s="362"/>
      <c r="X81" s="359"/>
      <c r="Y81" s="359"/>
      <c r="Z81" s="360"/>
      <c r="AA81" s="78"/>
      <c r="AB81" s="90"/>
      <c r="AC81" s="342"/>
      <c r="AF81" s="87"/>
      <c r="AK81" s="87"/>
      <c r="AP81" s="87"/>
      <c r="AU81" s="87"/>
    </row>
    <row r="82" spans="1:50" s="81" customFormat="1" ht="16.5" customHeight="1">
      <c r="A82" s="1"/>
      <c r="B82" s="1"/>
      <c r="C82" s="363"/>
      <c r="D82" s="363"/>
      <c r="E82" s="358"/>
      <c r="F82" s="358"/>
      <c r="G82" s="358"/>
      <c r="H82" s="362"/>
      <c r="I82" s="359"/>
      <c r="J82" s="358"/>
      <c r="K82" s="358"/>
      <c r="L82" s="358"/>
      <c r="M82" s="362"/>
      <c r="N82" s="359"/>
      <c r="O82" s="358"/>
      <c r="P82" s="358"/>
      <c r="Q82" s="358"/>
      <c r="R82" s="362"/>
      <c r="S82" s="359"/>
      <c r="T82" s="358"/>
      <c r="U82" s="358"/>
      <c r="V82" s="358"/>
      <c r="W82" s="362"/>
      <c r="X82" s="359"/>
      <c r="Y82" s="359"/>
      <c r="Z82" s="360"/>
      <c r="AA82" s="78"/>
      <c r="AB82" s="90"/>
      <c r="AC82" s="342"/>
      <c r="AF82" s="87"/>
      <c r="AK82" s="87"/>
      <c r="AP82" s="87"/>
      <c r="AU82" s="87"/>
    </row>
    <row r="83" spans="1:50" s="81" customFormat="1" ht="16.5" customHeight="1">
      <c r="A83" s="1"/>
      <c r="B83" s="364"/>
      <c r="C83" s="90"/>
      <c r="D83" s="92"/>
      <c r="E83" s="90"/>
      <c r="F83" s="90"/>
      <c r="G83" s="90"/>
      <c r="H83" s="91"/>
      <c r="I83" s="90"/>
      <c r="J83" s="90"/>
      <c r="K83" s="90"/>
      <c r="L83" s="90"/>
      <c r="M83" s="91"/>
      <c r="N83" s="90"/>
      <c r="O83" s="90"/>
      <c r="P83" s="90"/>
      <c r="Q83" s="90"/>
      <c r="R83" s="91"/>
      <c r="S83" s="90"/>
      <c r="T83" s="90"/>
      <c r="U83" s="90"/>
      <c r="V83" s="90"/>
      <c r="W83" s="91"/>
      <c r="X83" s="90"/>
      <c r="Y83" s="90"/>
      <c r="Z83" s="90"/>
      <c r="AA83" s="78"/>
      <c r="AB83" s="90"/>
      <c r="AC83" s="342"/>
      <c r="AF83" s="87"/>
      <c r="AK83" s="87"/>
      <c r="AP83" s="87"/>
      <c r="AU83" s="87"/>
    </row>
    <row r="84" spans="1:50" s="81" customFormat="1" ht="16.5" customHeight="1" thickBot="1">
      <c r="A84" s="365"/>
      <c r="B84" s="366"/>
      <c r="C84" s="367"/>
      <c r="D84" s="368"/>
      <c r="E84" s="367"/>
      <c r="F84" s="367"/>
      <c r="G84" s="367"/>
      <c r="H84" s="369"/>
      <c r="I84" s="367"/>
      <c r="J84" s="367"/>
      <c r="K84" s="367"/>
      <c r="L84" s="367"/>
      <c r="M84" s="369"/>
      <c r="N84" s="367"/>
      <c r="O84" s="367"/>
      <c r="P84" s="367"/>
      <c r="Q84" s="367"/>
      <c r="R84" s="369"/>
      <c r="S84" s="367"/>
      <c r="T84" s="367"/>
      <c r="U84" s="367"/>
      <c r="V84" s="367"/>
      <c r="W84" s="369"/>
      <c r="X84" s="367"/>
      <c r="Y84" s="367"/>
      <c r="Z84" s="367"/>
      <c r="AA84" s="370"/>
      <c r="AB84" s="367"/>
      <c r="AC84" s="371"/>
      <c r="AF84" s="87"/>
      <c r="AK84" s="87"/>
      <c r="AP84" s="87"/>
      <c r="AU84" s="87"/>
    </row>
    <row r="85" spans="1:50" s="81" customFormat="1" ht="16.5" customHeight="1">
      <c r="F85" s="90"/>
      <c r="G85" s="90"/>
      <c r="H85" s="91"/>
      <c r="I85" s="90"/>
      <c r="K85" s="90"/>
      <c r="L85" s="90"/>
      <c r="M85" s="91"/>
      <c r="N85" s="90"/>
      <c r="P85" s="90"/>
      <c r="Q85" s="90"/>
      <c r="R85" s="91"/>
      <c r="S85" s="90"/>
      <c r="U85" s="90"/>
      <c r="V85" s="90"/>
      <c r="W85" s="91"/>
      <c r="X85" s="90"/>
      <c r="Y85" s="90"/>
      <c r="Z85" s="90"/>
      <c r="AA85" s="90"/>
      <c r="AB85" s="90"/>
      <c r="AC85" s="90"/>
      <c r="AF85" s="87"/>
      <c r="AK85" s="87"/>
      <c r="AP85" s="87"/>
      <c r="AU85" s="87"/>
    </row>
    <row r="86" spans="1:50" s="81" customFormat="1" ht="16.5" customHeight="1">
      <c r="F86" s="90" t="s">
        <v>128</v>
      </c>
      <c r="H86" s="91"/>
      <c r="I86" s="90"/>
      <c r="K86" s="90" t="s">
        <v>128</v>
      </c>
      <c r="L86" s="90"/>
      <c r="M86" s="91"/>
      <c r="N86" s="90"/>
      <c r="Q86" s="90"/>
      <c r="R86" s="91"/>
      <c r="S86" s="90"/>
      <c r="V86" s="90"/>
      <c r="W86" s="91"/>
      <c r="X86" s="90"/>
      <c r="Y86" s="90"/>
      <c r="Z86" s="90"/>
      <c r="AA86" s="90"/>
      <c r="AB86" s="90"/>
      <c r="AC86" s="90"/>
      <c r="AF86" s="87"/>
      <c r="AH86" s="81" t="s">
        <v>129</v>
      </c>
      <c r="AK86" s="87"/>
      <c r="AM86" s="81" t="s">
        <v>130</v>
      </c>
      <c r="AP86" s="87"/>
      <c r="AR86" s="81" t="s">
        <v>131</v>
      </c>
      <c r="AU86" s="87"/>
      <c r="AW86" s="81" t="s">
        <v>132</v>
      </c>
    </row>
    <row r="87" spans="1:50" s="81" customFormat="1" ht="16.5" customHeight="1">
      <c r="E87" s="90" t="s">
        <v>65</v>
      </c>
      <c r="F87" s="90"/>
      <c r="G87" s="90"/>
      <c r="H87" s="91"/>
      <c r="I87" s="90"/>
      <c r="K87" s="90"/>
      <c r="M87" s="91"/>
      <c r="N87" s="90"/>
      <c r="P87" s="90"/>
      <c r="Q87" s="90"/>
      <c r="R87" s="91"/>
      <c r="S87" s="90"/>
      <c r="U87" s="90"/>
      <c r="V87" s="90"/>
      <c r="W87" s="91"/>
      <c r="X87" s="90"/>
      <c r="AA87" s="90"/>
      <c r="AB87" s="90"/>
      <c r="AC87" s="90"/>
      <c r="AF87" s="87"/>
      <c r="AK87" s="87"/>
      <c r="AP87" s="87"/>
      <c r="AU87" s="87"/>
    </row>
    <row r="88" spans="1:50" s="81" customFormat="1" ht="16.5" customHeight="1">
      <c r="F88" s="90"/>
      <c r="G88" s="90"/>
      <c r="H88" s="91"/>
      <c r="I88" s="372"/>
      <c r="K88" s="90"/>
      <c r="L88" s="90"/>
      <c r="M88" s="91"/>
      <c r="N88" s="372"/>
      <c r="P88" s="90"/>
      <c r="Q88" s="90"/>
      <c r="R88" s="91"/>
      <c r="S88" s="372"/>
      <c r="U88" s="90"/>
      <c r="V88" s="90"/>
      <c r="W88" s="91"/>
      <c r="X88" s="372"/>
      <c r="Y88" s="372"/>
      <c r="Z88" s="372"/>
      <c r="AA88" s="90"/>
      <c r="AB88" s="90"/>
      <c r="AC88" s="90"/>
      <c r="AF88" s="87"/>
      <c r="AK88" s="87"/>
      <c r="AP88" s="87"/>
      <c r="AU88" s="87"/>
    </row>
    <row r="89" spans="1:50" s="81" customFormat="1" ht="16.5" customHeight="1">
      <c r="F89" s="90"/>
      <c r="G89" s="90"/>
      <c r="H89" s="91"/>
      <c r="I89" s="90"/>
      <c r="K89" s="90"/>
      <c r="L89" s="90"/>
      <c r="M89" s="91"/>
      <c r="N89" s="90"/>
      <c r="P89" s="90"/>
      <c r="Q89" s="90"/>
      <c r="R89" s="91"/>
      <c r="S89" s="90"/>
      <c r="U89" s="90"/>
      <c r="V89" s="90"/>
      <c r="W89" s="91"/>
      <c r="X89" s="90"/>
      <c r="Y89" s="90"/>
      <c r="Z89" s="90"/>
      <c r="AA89" s="90"/>
      <c r="AB89" s="90"/>
      <c r="AC89" s="90"/>
      <c r="AF89" s="373" t="s">
        <v>122</v>
      </c>
      <c r="AG89" s="373" t="s">
        <v>123</v>
      </c>
      <c r="AH89" s="374"/>
      <c r="AI89" s="375"/>
      <c r="AJ89" s="234"/>
      <c r="AK89" s="373" t="s">
        <v>122</v>
      </c>
      <c r="AL89" s="373" t="s">
        <v>123</v>
      </c>
      <c r="AM89" s="374"/>
      <c r="AN89" s="375"/>
      <c r="AO89" s="234"/>
      <c r="AP89" s="373" t="s">
        <v>122</v>
      </c>
      <c r="AQ89" s="373" t="s">
        <v>123</v>
      </c>
      <c r="AR89" s="374"/>
      <c r="AS89" s="375"/>
      <c r="AT89" s="234"/>
      <c r="AU89" s="373" t="s">
        <v>122</v>
      </c>
      <c r="AV89" s="373" t="s">
        <v>123</v>
      </c>
      <c r="AW89" s="374"/>
      <c r="AX89" s="375"/>
    </row>
    <row r="90" spans="1:50" s="81" customFormat="1" ht="16.5" customHeight="1">
      <c r="F90" s="90"/>
      <c r="G90" s="90"/>
      <c r="H90" s="91"/>
      <c r="I90" s="90"/>
      <c r="K90" s="90"/>
      <c r="L90" s="90"/>
      <c r="M90" s="91"/>
      <c r="N90" s="90"/>
      <c r="P90" s="90"/>
      <c r="Q90" s="90"/>
      <c r="R90" s="91"/>
      <c r="S90" s="90"/>
      <c r="U90" s="90"/>
      <c r="V90" s="90"/>
      <c r="W90" s="91"/>
      <c r="X90" s="90"/>
      <c r="Y90" s="90"/>
      <c r="Z90" s="90"/>
      <c r="AA90" s="90"/>
      <c r="AB90" s="90"/>
      <c r="AC90" s="90"/>
      <c r="AF90" s="376"/>
      <c r="AG90" s="376"/>
      <c r="AH90" s="377" t="s">
        <v>125</v>
      </c>
      <c r="AI90" s="377" t="s">
        <v>126</v>
      </c>
      <c r="AJ90" s="234"/>
      <c r="AK90" s="376"/>
      <c r="AL90" s="376"/>
      <c r="AM90" s="377" t="s">
        <v>125</v>
      </c>
      <c r="AN90" s="377" t="s">
        <v>126</v>
      </c>
      <c r="AO90" s="234"/>
      <c r="AP90" s="376"/>
      <c r="AQ90" s="376"/>
      <c r="AR90" s="377" t="s">
        <v>125</v>
      </c>
      <c r="AS90" s="377" t="s">
        <v>126</v>
      </c>
      <c r="AT90" s="234"/>
      <c r="AU90" s="376"/>
      <c r="AV90" s="376"/>
      <c r="AW90" s="377" t="s">
        <v>125</v>
      </c>
      <c r="AX90" s="377" t="s">
        <v>126</v>
      </c>
    </row>
    <row r="91" spans="1:50" s="81" customFormat="1" ht="16.5" customHeight="1">
      <c r="F91" s="90"/>
      <c r="G91" s="90"/>
      <c r="H91" s="91"/>
      <c r="I91" s="90"/>
      <c r="K91" s="90"/>
      <c r="L91" s="90"/>
      <c r="M91" s="91"/>
      <c r="N91" s="90"/>
      <c r="P91" s="90"/>
      <c r="Q91" s="90"/>
      <c r="R91" s="91"/>
      <c r="S91" s="90"/>
      <c r="U91" s="90"/>
      <c r="V91" s="90"/>
      <c r="W91" s="91"/>
      <c r="X91" s="90"/>
      <c r="Y91" s="90"/>
      <c r="Z91" s="90"/>
      <c r="AA91" s="90"/>
      <c r="AB91" s="90"/>
      <c r="AC91" s="90"/>
      <c r="AF91" s="378" t="s">
        <v>22</v>
      </c>
      <c r="AG91" s="378">
        <v>1</v>
      </c>
      <c r="AH91" s="378">
        <v>7</v>
      </c>
      <c r="AI91" s="378">
        <f>AG91*AH91</f>
        <v>7</v>
      </c>
      <c r="AJ91" s="234"/>
      <c r="AK91" s="378" t="s">
        <v>22</v>
      </c>
      <c r="AL91" s="378">
        <v>1</v>
      </c>
      <c r="AM91" s="378">
        <v>12</v>
      </c>
      <c r="AN91" s="378">
        <f>AL91*AM91</f>
        <v>12</v>
      </c>
      <c r="AO91" s="234"/>
      <c r="AP91" s="378" t="s">
        <v>22</v>
      </c>
      <c r="AQ91" s="378">
        <v>1</v>
      </c>
      <c r="AR91" s="378">
        <v>12</v>
      </c>
      <c r="AS91" s="378">
        <f>AQ91*AR91</f>
        <v>12</v>
      </c>
      <c r="AT91" s="234"/>
      <c r="AU91" s="378" t="s">
        <v>22</v>
      </c>
      <c r="AV91" s="378">
        <v>1</v>
      </c>
      <c r="AW91" s="378">
        <v>7</v>
      </c>
      <c r="AX91" s="378">
        <f>AV91*AW91</f>
        <v>7</v>
      </c>
    </row>
    <row r="92" spans="1:50">
      <c r="AF92" s="378" t="s">
        <v>27</v>
      </c>
      <c r="AG92" s="378">
        <v>1</v>
      </c>
      <c r="AH92" s="378">
        <v>5</v>
      </c>
      <c r="AI92" s="378">
        <f t="shared" ref="AI92:AI97" si="15">AG92*AH92</f>
        <v>5</v>
      </c>
      <c r="AJ92" s="234"/>
      <c r="AK92" s="378" t="s">
        <v>27</v>
      </c>
      <c r="AL92" s="378">
        <v>1</v>
      </c>
      <c r="AM92" s="378">
        <v>5</v>
      </c>
      <c r="AN92" s="378">
        <f t="shared" ref="AN92:AN97" si="16">AL92*AM92</f>
        <v>5</v>
      </c>
      <c r="AO92" s="234"/>
      <c r="AP92" s="378" t="s">
        <v>27</v>
      </c>
      <c r="AQ92" s="378">
        <v>1</v>
      </c>
      <c r="AR92" s="378">
        <v>5</v>
      </c>
      <c r="AS92" s="378">
        <f t="shared" ref="AS92:AS93" si="17">AQ92*AR92</f>
        <v>5</v>
      </c>
      <c r="AT92" s="234"/>
      <c r="AU92" s="378" t="s">
        <v>27</v>
      </c>
      <c r="AV92" s="378">
        <v>1</v>
      </c>
      <c r="AW92" s="378">
        <v>5</v>
      </c>
      <c r="AX92" s="378">
        <f t="shared" ref="AX92:AX93" si="18">AV92*AW92</f>
        <v>5</v>
      </c>
    </row>
    <row r="93" spans="1:50">
      <c r="AF93" s="378" t="s">
        <v>29</v>
      </c>
      <c r="AG93" s="378">
        <v>12</v>
      </c>
      <c r="AH93" s="378">
        <v>4</v>
      </c>
      <c r="AI93" s="378">
        <f t="shared" si="15"/>
        <v>48</v>
      </c>
      <c r="AJ93" s="234"/>
      <c r="AK93" s="378" t="s">
        <v>29</v>
      </c>
      <c r="AL93" s="378">
        <v>12</v>
      </c>
      <c r="AM93" s="378">
        <v>3</v>
      </c>
      <c r="AN93" s="378">
        <f t="shared" si="16"/>
        <v>36</v>
      </c>
      <c r="AO93" s="234"/>
      <c r="AP93" s="378" t="s">
        <v>29</v>
      </c>
      <c r="AQ93" s="378">
        <v>11</v>
      </c>
      <c r="AR93" s="378">
        <v>3</v>
      </c>
      <c r="AS93" s="378">
        <f t="shared" si="17"/>
        <v>33</v>
      </c>
      <c r="AT93" s="234"/>
      <c r="AU93" s="378" t="s">
        <v>29</v>
      </c>
      <c r="AV93" s="378">
        <v>11</v>
      </c>
      <c r="AW93" s="378">
        <v>3</v>
      </c>
      <c r="AX93" s="378">
        <f t="shared" si="18"/>
        <v>33</v>
      </c>
    </row>
    <row r="94" spans="1:50">
      <c r="AF94" s="378" t="s">
        <v>29</v>
      </c>
      <c r="AG94" s="378">
        <v>1</v>
      </c>
      <c r="AH94" s="378">
        <v>7</v>
      </c>
      <c r="AI94" s="378">
        <f t="shared" si="15"/>
        <v>7</v>
      </c>
      <c r="AJ94" s="234"/>
      <c r="AK94" s="378" t="s">
        <v>29</v>
      </c>
      <c r="AL94" s="378">
        <v>1</v>
      </c>
      <c r="AM94" s="378">
        <v>7</v>
      </c>
      <c r="AN94" s="378">
        <f t="shared" si="16"/>
        <v>7</v>
      </c>
      <c r="AO94" s="234"/>
      <c r="AP94" s="378"/>
      <c r="AQ94" s="378"/>
      <c r="AR94" s="378"/>
      <c r="AS94" s="378"/>
      <c r="AT94" s="234"/>
      <c r="AU94" s="378"/>
      <c r="AV94" s="378"/>
      <c r="AW94" s="378"/>
      <c r="AX94" s="378"/>
    </row>
    <row r="95" spans="1:50">
      <c r="AF95" s="378" t="s">
        <v>33</v>
      </c>
      <c r="AG95" s="378">
        <v>2</v>
      </c>
      <c r="AH95" s="378">
        <v>2</v>
      </c>
      <c r="AI95" s="378">
        <f t="shared" si="15"/>
        <v>4</v>
      </c>
      <c r="AJ95" s="234"/>
      <c r="AK95" s="378" t="s">
        <v>33</v>
      </c>
      <c r="AL95" s="378">
        <v>2</v>
      </c>
      <c r="AM95" s="378">
        <v>2</v>
      </c>
      <c r="AN95" s="378">
        <f t="shared" si="16"/>
        <v>4</v>
      </c>
      <c r="AO95" s="234"/>
      <c r="AP95" s="378" t="s">
        <v>33</v>
      </c>
      <c r="AQ95" s="378">
        <v>3</v>
      </c>
      <c r="AR95" s="378">
        <v>2</v>
      </c>
      <c r="AS95" s="378">
        <f t="shared" ref="AS95:AS97" si="19">AQ95*AR95</f>
        <v>6</v>
      </c>
      <c r="AT95" s="234"/>
      <c r="AU95" s="378" t="s">
        <v>33</v>
      </c>
      <c r="AV95" s="378">
        <v>3</v>
      </c>
      <c r="AW95" s="378">
        <v>2</v>
      </c>
      <c r="AX95" s="378">
        <f t="shared" ref="AX95:AX97" si="20">AV95*AW95</f>
        <v>6</v>
      </c>
    </row>
    <row r="96" spans="1:50">
      <c r="AF96" s="378" t="s">
        <v>32</v>
      </c>
      <c r="AG96" s="378">
        <v>6</v>
      </c>
      <c r="AH96" s="378">
        <v>4</v>
      </c>
      <c r="AI96" s="378">
        <f t="shared" si="15"/>
        <v>24</v>
      </c>
      <c r="AJ96" s="234"/>
      <c r="AK96" s="378" t="s">
        <v>32</v>
      </c>
      <c r="AL96" s="378">
        <v>6</v>
      </c>
      <c r="AM96" s="378">
        <v>3</v>
      </c>
      <c r="AN96" s="378">
        <f t="shared" si="16"/>
        <v>18</v>
      </c>
      <c r="AO96" s="234"/>
      <c r="AP96" s="378" t="s">
        <v>32</v>
      </c>
      <c r="AQ96" s="378">
        <v>2</v>
      </c>
      <c r="AR96" s="378">
        <v>3</v>
      </c>
      <c r="AS96" s="378">
        <f t="shared" si="19"/>
        <v>6</v>
      </c>
      <c r="AT96" s="234"/>
      <c r="AU96" s="378" t="s">
        <v>32</v>
      </c>
      <c r="AV96" s="378">
        <v>2</v>
      </c>
      <c r="AW96" s="378">
        <v>3</v>
      </c>
      <c r="AX96" s="378">
        <f t="shared" si="20"/>
        <v>6</v>
      </c>
    </row>
    <row r="97" spans="32:50">
      <c r="AF97" s="378" t="s">
        <v>34</v>
      </c>
      <c r="AG97" s="378">
        <v>1</v>
      </c>
      <c r="AH97" s="378">
        <v>7</v>
      </c>
      <c r="AI97" s="378">
        <f t="shared" si="15"/>
        <v>7</v>
      </c>
      <c r="AJ97" s="234"/>
      <c r="AK97" s="378" t="s">
        <v>34</v>
      </c>
      <c r="AL97" s="378">
        <v>1</v>
      </c>
      <c r="AM97" s="378">
        <v>12</v>
      </c>
      <c r="AN97" s="378">
        <f t="shared" si="16"/>
        <v>12</v>
      </c>
      <c r="AO97" s="234"/>
      <c r="AP97" s="378" t="s">
        <v>34</v>
      </c>
      <c r="AQ97" s="378">
        <v>1</v>
      </c>
      <c r="AR97" s="378">
        <v>12</v>
      </c>
      <c r="AS97" s="378">
        <f t="shared" si="19"/>
        <v>12</v>
      </c>
      <c r="AT97" s="234"/>
      <c r="AU97" s="378" t="s">
        <v>34</v>
      </c>
      <c r="AV97" s="378">
        <v>1</v>
      </c>
      <c r="AW97" s="378">
        <v>7</v>
      </c>
      <c r="AX97" s="378">
        <f t="shared" si="20"/>
        <v>7</v>
      </c>
    </row>
    <row r="98" spans="32:50">
      <c r="AF98" s="378" t="s">
        <v>63</v>
      </c>
      <c r="AG98" s="378"/>
      <c r="AH98" s="378"/>
      <c r="AI98" s="378">
        <v>16</v>
      </c>
      <c r="AK98" s="378" t="s">
        <v>63</v>
      </c>
      <c r="AL98" s="378"/>
      <c r="AM98" s="378"/>
      <c r="AN98" s="378">
        <v>22</v>
      </c>
      <c r="AP98" s="378" t="s">
        <v>63</v>
      </c>
      <c r="AQ98" s="378"/>
      <c r="AR98" s="378"/>
      <c r="AS98" s="378">
        <v>22</v>
      </c>
      <c r="AU98" s="378" t="s">
        <v>63</v>
      </c>
      <c r="AV98" s="378"/>
      <c r="AW98" s="378"/>
      <c r="AX98" s="378">
        <v>16</v>
      </c>
    </row>
    <row r="99" spans="32:50">
      <c r="AF99" s="378" t="s">
        <v>64</v>
      </c>
      <c r="AG99" s="378"/>
      <c r="AH99" s="378"/>
      <c r="AI99" s="378">
        <v>10</v>
      </c>
      <c r="AK99" s="378" t="s">
        <v>64</v>
      </c>
      <c r="AL99" s="378"/>
      <c r="AM99" s="378"/>
      <c r="AN99" s="378">
        <v>10</v>
      </c>
      <c r="AP99" s="378" t="s">
        <v>64</v>
      </c>
      <c r="AQ99" s="378"/>
      <c r="AR99" s="378"/>
      <c r="AS99" s="378">
        <v>10</v>
      </c>
      <c r="AU99" s="378" t="s">
        <v>64</v>
      </c>
      <c r="AV99" s="378"/>
      <c r="AW99" s="378"/>
      <c r="AX99" s="378">
        <v>10</v>
      </c>
    </row>
    <row r="100" spans="32:50">
      <c r="AF100" s="379" t="s">
        <v>127</v>
      </c>
      <c r="AG100" s="379">
        <f>SUM(AG91:AG98)</f>
        <v>24</v>
      </c>
      <c r="AH100" s="379"/>
      <c r="AI100" s="379">
        <f>SUM(AI91:AI99)</f>
        <v>128</v>
      </c>
      <c r="AK100" s="379" t="s">
        <v>127</v>
      </c>
      <c r="AL100" s="379">
        <f>SUM(AL91:AL98)</f>
        <v>24</v>
      </c>
      <c r="AM100" s="379"/>
      <c r="AN100" s="379">
        <f>SUM(AN91:AN99)</f>
        <v>126</v>
      </c>
      <c r="AP100" s="379" t="s">
        <v>127</v>
      </c>
      <c r="AQ100" s="379">
        <f>SUM(AQ91:AQ98)</f>
        <v>19</v>
      </c>
      <c r="AR100" s="379"/>
      <c r="AS100" s="379">
        <f>SUM(AS91:AS99)</f>
        <v>106</v>
      </c>
      <c r="AU100" s="379" t="s">
        <v>127</v>
      </c>
      <c r="AV100" s="379">
        <f>SUM(AV91:AV98)</f>
        <v>19</v>
      </c>
      <c r="AW100" s="379"/>
      <c r="AX100" s="379">
        <f>SUM(AX91:AX99)</f>
        <v>90</v>
      </c>
    </row>
  </sheetData>
  <mergeCells count="27">
    <mergeCell ref="C63:D63"/>
    <mergeCell ref="B64:D64"/>
    <mergeCell ref="C82:D82"/>
    <mergeCell ref="C57:D57"/>
    <mergeCell ref="C58:D58"/>
    <mergeCell ref="C59:D59"/>
    <mergeCell ref="C60:D60"/>
    <mergeCell ref="C61:D61"/>
    <mergeCell ref="C62:D62"/>
    <mergeCell ref="C52:D52"/>
    <mergeCell ref="C53:D53"/>
    <mergeCell ref="AA53:AC53"/>
    <mergeCell ref="C54:D54"/>
    <mergeCell ref="C55:D55"/>
    <mergeCell ref="C56:D56"/>
    <mergeCell ref="C30:D30"/>
    <mergeCell ref="C47:D47"/>
    <mergeCell ref="C48:D48"/>
    <mergeCell ref="C49:D49"/>
    <mergeCell ref="C50:D50"/>
    <mergeCell ref="C51:D51"/>
    <mergeCell ref="B8:D10"/>
    <mergeCell ref="E8:I10"/>
    <mergeCell ref="J8:N10"/>
    <mergeCell ref="O8:S10"/>
    <mergeCell ref="T8:X10"/>
    <mergeCell ref="AA8:AC10"/>
  </mergeCells>
  <phoneticPr fontId="3" type="noConversion"/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남중 김</dc:creator>
  <cp:lastModifiedBy>남중 김</cp:lastModifiedBy>
  <dcterms:created xsi:type="dcterms:W3CDTF">2026-03-04T23:54:59Z</dcterms:created>
  <dcterms:modified xsi:type="dcterms:W3CDTF">2026-03-04T23:57:25Z</dcterms:modified>
</cp:coreProperties>
</file>